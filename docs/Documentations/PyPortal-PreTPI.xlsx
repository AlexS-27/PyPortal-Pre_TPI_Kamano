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fileSharing readOnlyRecommended="1"/>
  <workbookPr defaultThemeVersion="166925"/>
  <mc:AlternateContent xmlns:mc="http://schemas.openxmlformats.org/markup-compatibility/2006">
    <mc:Choice Requires="x15">
      <x15ac:absPath xmlns:x15ac="http://schemas.microsoft.com/office/spreadsheetml/2010/11/ac" url="https://eduvaud-my.sharepoint.com/personal/pk86onf_eduvaud_ch/Documents/"/>
    </mc:Choice>
  </mc:AlternateContent>
  <xr:revisionPtr revIDLastSave="82" documentId="8_{27D2E17F-BE31-804C-AD04-AAC74788B3D5}" xr6:coauthVersionLast="47" xr6:coauthVersionMax="47" xr10:uidLastSave="{99842C90-AB35-0C48-BD64-AA3A4D4366A1}"/>
  <bookViews>
    <workbookView xWindow="0" yWindow="760" windowWidth="34200" windowHeight="21380" activeTab="1" xr2:uid="{F012BECB-27C8-4CD0-9347-17CD11194E21}"/>
  </bookViews>
  <sheets>
    <sheet name="Journal de travail" sheetId="3" r:id="rId1"/>
    <sheet name="Planification" sheetId="4" r:id="rId2"/>
  </sheets>
  <definedNames>
    <definedName name="Project_Start" localSheetId="1">Planification!$C$3</definedName>
    <definedName name="Scrolling_Increment" localSheetId="1">Planification!$C$4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33" i="4" l="1"/>
  <c r="S40" i="4"/>
  <c r="R40" i="4"/>
  <c r="Q40" i="4"/>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40" i="3"/>
  <c r="C39" i="3"/>
  <c r="C38" i="3"/>
  <c r="C37" i="3"/>
  <c r="C36" i="3"/>
  <c r="C35" i="3"/>
  <c r="C34" i="3"/>
  <c r="C13" i="3"/>
  <c r="C8" i="3"/>
  <c r="C9" i="3"/>
  <c r="C10" i="3"/>
  <c r="C11" i="3"/>
  <c r="C12" i="3"/>
  <c r="C14" i="3"/>
  <c r="C15" i="3"/>
  <c r="C16" i="3"/>
  <c r="C17" i="3"/>
  <c r="C18" i="3"/>
  <c r="C19" i="3"/>
  <c r="C20" i="3"/>
  <c r="C21" i="3"/>
  <c r="C22" i="3"/>
  <c r="C23" i="3"/>
  <c r="C24" i="3"/>
  <c r="C25" i="3"/>
  <c r="C26" i="3"/>
  <c r="C27" i="3"/>
  <c r="C28" i="3"/>
  <c r="C29" i="3"/>
  <c r="C30" i="3"/>
  <c r="C31" i="3"/>
  <c r="C32" i="3"/>
  <c r="C33" i="3"/>
  <c r="C7" i="3"/>
  <c r="C6" i="3"/>
  <c r="G3" i="4"/>
  <c r="AX41" i="4"/>
  <c r="AW41" i="4"/>
  <c r="AV41" i="4"/>
  <c r="AU41" i="4"/>
  <c r="AT41" i="4"/>
  <c r="AS41" i="4"/>
  <c r="AR41" i="4"/>
  <c r="AQ41" i="4"/>
  <c r="AN39" i="4"/>
  <c r="AM39" i="4"/>
  <c r="AL39" i="4"/>
  <c r="AK39" i="4"/>
  <c r="AM37" i="4"/>
  <c r="AL37" i="4"/>
  <c r="AK37" i="4"/>
  <c r="AJ37" i="4"/>
  <c r="AI37" i="4"/>
  <c r="AH37" i="4"/>
  <c r="AG37" i="4"/>
  <c r="AF37" i="4"/>
  <c r="AE37" i="4"/>
  <c r="AD37" i="4"/>
  <c r="AC37" i="4"/>
  <c r="AB37" i="4"/>
  <c r="AF35" i="4"/>
  <c r="AE35" i="4"/>
  <c r="AD35" i="4"/>
  <c r="AC35" i="4"/>
  <c r="AB35" i="4"/>
  <c r="AA35" i="4"/>
  <c r="Z35" i="4"/>
  <c r="Y35" i="4"/>
  <c r="T33" i="4"/>
  <c r="S33" i="4"/>
  <c r="R33" i="4"/>
  <c r="Q33" i="4"/>
  <c r="P33" i="4"/>
  <c r="O33" i="4"/>
  <c r="P31" i="4"/>
  <c r="O31" i="4"/>
  <c r="N31" i="4"/>
  <c r="M31" i="4"/>
  <c r="L31" i="4"/>
  <c r="I29" i="4"/>
  <c r="H29" i="4"/>
  <c r="AU40" i="4"/>
  <c r="AT40" i="4"/>
  <c r="AS40" i="4"/>
  <c r="AR40" i="4"/>
  <c r="AQ40" i="4"/>
  <c r="AP40" i="4"/>
  <c r="AO40" i="4"/>
  <c r="AN40" i="4"/>
  <c r="AM40" i="4"/>
  <c r="AL40" i="4"/>
  <c r="AK40" i="4"/>
  <c r="AJ40" i="4"/>
  <c r="AI40" i="4"/>
  <c r="AH40" i="4"/>
  <c r="AG40" i="4"/>
  <c r="AF40" i="4"/>
  <c r="AE40" i="4"/>
  <c r="AD40" i="4"/>
  <c r="AC40" i="4"/>
  <c r="AB40" i="4"/>
  <c r="AA40" i="4"/>
  <c r="Z40" i="4"/>
  <c r="Y40" i="4"/>
  <c r="X40" i="4"/>
  <c r="W40" i="4"/>
  <c r="V40" i="4"/>
  <c r="U40" i="4"/>
  <c r="T40" i="4"/>
  <c r="P40" i="4"/>
  <c r="O40" i="4"/>
  <c r="N40" i="4"/>
  <c r="M40" i="4"/>
  <c r="L40" i="4"/>
  <c r="K40" i="4"/>
  <c r="J40" i="4"/>
  <c r="AN38" i="4"/>
  <c r="AM38" i="4"/>
  <c r="AL38" i="4"/>
  <c r="AK38" i="4"/>
  <c r="AJ38" i="4"/>
  <c r="AI38" i="4"/>
  <c r="AE36" i="4"/>
  <c r="AD36" i="4"/>
  <c r="AC36" i="4"/>
  <c r="AB36" i="4"/>
  <c r="AA36" i="4"/>
  <c r="Z36" i="4"/>
  <c r="AC34" i="4"/>
  <c r="AB34" i="4"/>
  <c r="AA34" i="4"/>
  <c r="Z34" i="4"/>
  <c r="Y34" i="4"/>
  <c r="X34" i="4"/>
  <c r="W34" i="4"/>
  <c r="V34" i="4"/>
  <c r="U34" i="4"/>
  <c r="T34" i="4"/>
  <c r="S34" i="4"/>
  <c r="R34" i="4"/>
  <c r="AB32" i="4"/>
  <c r="AA32" i="4"/>
  <c r="Z32" i="4"/>
  <c r="Y32" i="4"/>
  <c r="X32" i="4"/>
  <c r="W32" i="4"/>
  <c r="V32" i="4"/>
  <c r="U32" i="4"/>
  <c r="T32" i="4"/>
  <c r="S32" i="4"/>
  <c r="R32" i="4"/>
  <c r="Q32" i="4"/>
  <c r="L30" i="4"/>
  <c r="H28" i="4"/>
  <c r="AP41" i="4"/>
  <c r="AK41" i="4"/>
  <c r="AF41" i="4"/>
  <c r="AA41" i="4"/>
  <c r="Y41" i="4"/>
  <c r="V41" i="4"/>
  <c r="Q41" i="4"/>
  <c r="L41" i="4"/>
  <c r="G41" i="4"/>
  <c r="AW40" i="4"/>
  <c r="G40" i="4"/>
  <c r="AW39" i="4"/>
  <c r="AU39" i="4"/>
  <c r="AP39" i="4"/>
  <c r="AF39" i="4"/>
  <c r="AA39" i="4"/>
  <c r="Y39" i="4"/>
  <c r="V39" i="4"/>
  <c r="Q39" i="4"/>
  <c r="L39" i="4"/>
  <c r="G39" i="4"/>
  <c r="AW38" i="4"/>
  <c r="AU38" i="4"/>
  <c r="AP38" i="4"/>
  <c r="AF38" i="4"/>
  <c r="AA38" i="4"/>
  <c r="Y38" i="4"/>
  <c r="V38" i="4"/>
  <c r="Q38" i="4"/>
  <c r="L38" i="4"/>
  <c r="G38" i="4"/>
  <c r="AW37" i="4"/>
  <c r="AU37" i="4"/>
  <c r="AP37" i="4"/>
  <c r="AA37" i="4"/>
  <c r="Y37" i="4"/>
  <c r="V37" i="4"/>
  <c r="Q37" i="4"/>
  <c r="L37" i="4"/>
  <c r="G37" i="4"/>
  <c r="AW36" i="4"/>
  <c r="AU36" i="4"/>
  <c r="AP36" i="4"/>
  <c r="AK36" i="4"/>
  <c r="AF36" i="4"/>
  <c r="Y36" i="4"/>
  <c r="V36" i="4"/>
  <c r="Q36" i="4"/>
  <c r="L36" i="4"/>
  <c r="G36" i="4"/>
  <c r="AW35" i="4"/>
  <c r="AU35" i="4"/>
  <c r="AP35" i="4"/>
  <c r="AK35" i="4"/>
  <c r="V35" i="4"/>
  <c r="Q35" i="4"/>
  <c r="L35" i="4"/>
  <c r="G35" i="4"/>
  <c r="AW34" i="4"/>
  <c r="AU34" i="4"/>
  <c r="AP34" i="4"/>
  <c r="AK34" i="4"/>
  <c r="AF34" i="4"/>
  <c r="Q34" i="4"/>
  <c r="L34" i="4"/>
  <c r="G34" i="4"/>
  <c r="AW33" i="4"/>
  <c r="AU33" i="4"/>
  <c r="AP33" i="4"/>
  <c r="AK33" i="4"/>
  <c r="AA33" i="4"/>
  <c r="Y33" i="4"/>
  <c r="V33" i="4"/>
  <c r="L33" i="4"/>
  <c r="G33" i="4"/>
  <c r="AW32" i="4"/>
  <c r="AU32" i="4"/>
  <c r="AP32" i="4"/>
  <c r="AK32" i="4"/>
  <c r="AF32" i="4"/>
  <c r="L32" i="4"/>
  <c r="G32" i="4"/>
  <c r="AW31" i="4"/>
  <c r="AU31" i="4"/>
  <c r="AP31" i="4"/>
  <c r="AK31" i="4"/>
  <c r="AF31" i="4"/>
  <c r="AA31" i="4"/>
  <c r="Y31" i="4"/>
  <c r="V31" i="4"/>
  <c r="Q31" i="4"/>
  <c r="G31" i="4"/>
  <c r="AW30" i="4"/>
  <c r="AU30" i="4"/>
  <c r="AP30" i="4"/>
  <c r="AK30" i="4"/>
  <c r="AF30" i="4"/>
  <c r="AA30" i="4"/>
  <c r="Y30" i="4"/>
  <c r="V30" i="4"/>
  <c r="Q30" i="4"/>
  <c r="G30" i="4"/>
  <c r="AW29" i="4"/>
  <c r="AU29" i="4"/>
  <c r="AP29" i="4"/>
  <c r="AK29" i="4"/>
  <c r="AF29" i="4"/>
  <c r="AA29" i="4"/>
  <c r="Y29" i="4"/>
  <c r="V29" i="4"/>
  <c r="Q29" i="4"/>
  <c r="L29" i="4"/>
  <c r="G29" i="4"/>
  <c r="AW28" i="4"/>
  <c r="AU28" i="4"/>
  <c r="AP28" i="4"/>
  <c r="AK28" i="4"/>
  <c r="AF28" i="4"/>
  <c r="AA28" i="4"/>
  <c r="Y28" i="4"/>
  <c r="V28" i="4"/>
  <c r="Q28" i="4"/>
  <c r="L28" i="4"/>
  <c r="AX25" i="4"/>
  <c r="AY25" i="4" s="1"/>
  <c r="AV25" i="4"/>
  <c r="AQ25" i="4"/>
  <c r="AR25" i="4" s="1"/>
  <c r="AS25" i="4" s="1"/>
  <c r="AT25" i="4" s="1"/>
  <c r="AL25" i="4"/>
  <c r="AM25" i="4" s="1"/>
  <c r="AN25" i="4" s="1"/>
  <c r="AO25" i="4" s="1"/>
  <c r="AG25" i="4"/>
  <c r="AH25" i="4" s="1"/>
  <c r="AI25" i="4" s="1"/>
  <c r="AJ25" i="4" s="1"/>
  <c r="AB25" i="4"/>
  <c r="AC25" i="4" s="1"/>
  <c r="AD25" i="4" s="1"/>
  <c r="AE25" i="4" s="1"/>
  <c r="Z25" i="4"/>
  <c r="W25" i="4"/>
  <c r="X25" i="4" s="1"/>
  <c r="R25" i="4"/>
  <c r="S25" i="4" s="1"/>
  <c r="T25" i="4" s="1"/>
  <c r="U25" i="4" s="1"/>
  <c r="M25" i="4"/>
  <c r="N25" i="4" s="1"/>
  <c r="O25" i="4" s="1"/>
  <c r="P25" i="4" s="1"/>
  <c r="H25" i="4"/>
  <c r="I25" i="4" s="1"/>
  <c r="J25" i="4" s="1"/>
  <c r="K25" i="4" s="1"/>
  <c r="AW24" i="4"/>
  <c r="AA24" i="4"/>
  <c r="G24" i="4"/>
  <c r="D24" i="4" a="1"/>
  <c r="D24" i="4" s="1"/>
  <c r="C24" i="4"/>
  <c r="Y19" i="4"/>
  <c r="AK19" i="4"/>
  <c r="AF19" i="4"/>
  <c r="AA19" i="4"/>
  <c r="V19" i="4"/>
  <c r="Q19" i="4"/>
  <c r="L19" i="4"/>
  <c r="AW19" i="4"/>
  <c r="AU19" i="4"/>
  <c r="G19" i="4"/>
  <c r="AP20" i="4"/>
  <c r="AW20" i="4"/>
  <c r="AU20" i="4"/>
  <c r="AP19" i="4"/>
  <c r="AK17" i="4"/>
  <c r="AP16" i="4"/>
  <c r="AF16" i="4"/>
  <c r="AA14" i="4"/>
  <c r="AA13" i="4"/>
  <c r="V13" i="4"/>
  <c r="V12" i="4"/>
  <c r="Q12" i="4"/>
  <c r="Q11" i="4"/>
  <c r="AW3" i="4"/>
  <c r="AA3" i="4"/>
  <c r="L9" i="4"/>
  <c r="Y20" i="4"/>
  <c r="G20" i="4"/>
  <c r="Y18" i="4"/>
  <c r="G18" i="4"/>
  <c r="Y17" i="4"/>
  <c r="G17" i="4"/>
  <c r="Y16" i="4"/>
  <c r="G16" i="4"/>
  <c r="Y14" i="4"/>
  <c r="G14" i="4"/>
  <c r="Y12" i="4"/>
  <c r="G12" i="4"/>
  <c r="Y10" i="4"/>
  <c r="G10" i="4"/>
  <c r="Y9" i="4"/>
  <c r="Y7" i="4"/>
  <c r="C3" i="4"/>
  <c r="Z4" i="4"/>
  <c r="Y11" i="4"/>
  <c r="Y13" i="4"/>
  <c r="Y15" i="4"/>
  <c r="D3" i="4" a="1"/>
  <c r="D3" i="4" s="1"/>
  <c r="Z31" i="4" l="1"/>
  <c r="Z20" i="4"/>
  <c r="Z41" i="4"/>
  <c r="Z39" i="4"/>
  <c r="Z37" i="4"/>
  <c r="Z38" i="4"/>
  <c r="Z30" i="4"/>
  <c r="Z28" i="4"/>
  <c r="Z33" i="4"/>
  <c r="Z19" i="4"/>
  <c r="Z29" i="4"/>
  <c r="Z17" i="4"/>
  <c r="Z18" i="4"/>
  <c r="Z12" i="4"/>
  <c r="Z10" i="4"/>
  <c r="Z16" i="4"/>
  <c r="Z11" i="4"/>
  <c r="Z14" i="4"/>
  <c r="Z7" i="4"/>
  <c r="Z15" i="4"/>
  <c r="Z9" i="4"/>
  <c r="Z13" i="4"/>
  <c r="AA11" i="4" l="1"/>
  <c r="AA20" i="4"/>
  <c r="AA18" i="4"/>
  <c r="AA17" i="4"/>
  <c r="AB4" i="4"/>
  <c r="AA15" i="4"/>
  <c r="AA10" i="4"/>
  <c r="AA9" i="4"/>
  <c r="AA16" i="4"/>
  <c r="AA12" i="4"/>
  <c r="AA7" i="4"/>
  <c r="H4" i="4"/>
  <c r="G9" i="4"/>
  <c r="G7" i="4"/>
  <c r="G15" i="4"/>
  <c r="G13" i="4"/>
  <c r="G11" i="4"/>
  <c r="H41" i="4" l="1"/>
  <c r="H39" i="4"/>
  <c r="H40" i="4"/>
  <c r="H38" i="4"/>
  <c r="H36" i="4"/>
  <c r="H34" i="4"/>
  <c r="H32" i="4"/>
  <c r="H30" i="4"/>
  <c r="G28" i="4"/>
  <c r="H37" i="4"/>
  <c r="H31" i="4"/>
  <c r="H35" i="4"/>
  <c r="H33" i="4"/>
  <c r="H19" i="4"/>
  <c r="AB38" i="4"/>
  <c r="AB30" i="4"/>
  <c r="AB41" i="4"/>
  <c r="AB39" i="4"/>
  <c r="AB33" i="4"/>
  <c r="AB28" i="4"/>
  <c r="AB31" i="4"/>
  <c r="AB19" i="4"/>
  <c r="AB29" i="4"/>
  <c r="AB15" i="4"/>
  <c r="AB14" i="4"/>
  <c r="AB13" i="4"/>
  <c r="AB9" i="4"/>
  <c r="AC4" i="4"/>
  <c r="H18" i="4"/>
  <c r="H20" i="4"/>
  <c r="H17" i="4"/>
  <c r="AK7" i="4"/>
  <c r="AB10" i="4"/>
  <c r="AB20" i="4"/>
  <c r="AB18" i="4"/>
  <c r="AB17" i="4"/>
  <c r="AB11" i="4"/>
  <c r="AB12" i="4"/>
  <c r="AB7" i="4"/>
  <c r="AB16" i="4"/>
  <c r="AC10" i="4"/>
  <c r="H10" i="4"/>
  <c r="H16" i="4"/>
  <c r="H14" i="4"/>
  <c r="H12" i="4"/>
  <c r="I4" i="4"/>
  <c r="H15" i="4"/>
  <c r="H13" i="4"/>
  <c r="H11" i="4"/>
  <c r="H9" i="4"/>
  <c r="H7" i="4"/>
  <c r="I39" i="4" l="1"/>
  <c r="I32" i="4"/>
  <c r="I30" i="4"/>
  <c r="I40" i="4"/>
  <c r="I34" i="4"/>
  <c r="I41" i="4"/>
  <c r="I35" i="4"/>
  <c r="I33" i="4"/>
  <c r="I36" i="4"/>
  <c r="I28" i="4"/>
  <c r="I19" i="4"/>
  <c r="I38" i="4"/>
  <c r="I37" i="4"/>
  <c r="I31" i="4"/>
  <c r="AC38" i="4"/>
  <c r="AC41" i="4"/>
  <c r="AC39" i="4"/>
  <c r="AC33" i="4"/>
  <c r="AC31" i="4"/>
  <c r="AC29" i="4"/>
  <c r="AC30" i="4"/>
  <c r="AC19" i="4"/>
  <c r="AC32" i="4"/>
  <c r="AC28" i="4"/>
  <c r="AD4" i="4"/>
  <c r="AC11" i="4"/>
  <c r="AC16" i="4"/>
  <c r="AC13" i="4"/>
  <c r="AC15" i="4"/>
  <c r="AC12" i="4"/>
  <c r="I18" i="4"/>
  <c r="I20" i="4"/>
  <c r="J4" i="4"/>
  <c r="I17" i="4"/>
  <c r="AK11" i="4"/>
  <c r="AK14" i="4"/>
  <c r="AK12" i="4"/>
  <c r="AK9" i="4"/>
  <c r="AK18" i="4"/>
  <c r="AK20" i="4"/>
  <c r="AL4" i="4"/>
  <c r="AL7" i="4" s="1"/>
  <c r="AK16" i="4"/>
  <c r="AK13" i="4"/>
  <c r="AK15" i="4"/>
  <c r="AK10" i="4"/>
  <c r="AD20" i="4"/>
  <c r="AD18" i="4"/>
  <c r="AD17" i="4"/>
  <c r="AC7" i="4"/>
  <c r="AC18" i="4"/>
  <c r="AC20" i="4"/>
  <c r="AC17" i="4"/>
  <c r="AC14" i="4"/>
  <c r="AC9" i="4"/>
  <c r="AL15" i="4"/>
  <c r="AL12" i="4"/>
  <c r="I16" i="4"/>
  <c r="I14" i="4"/>
  <c r="I12" i="4"/>
  <c r="I10" i="4"/>
  <c r="AD14" i="4"/>
  <c r="AD12" i="4"/>
  <c r="AD7" i="4"/>
  <c r="AD10" i="4"/>
  <c r="AD9" i="4"/>
  <c r="AD16" i="4"/>
  <c r="AD15" i="4"/>
  <c r="I15" i="4"/>
  <c r="I13" i="4"/>
  <c r="I11" i="4"/>
  <c r="I9" i="4"/>
  <c r="I7" i="4"/>
  <c r="AL41" i="4" l="1"/>
  <c r="AL36" i="4"/>
  <c r="AL34" i="4"/>
  <c r="AL32" i="4"/>
  <c r="AL30" i="4"/>
  <c r="AL28" i="4"/>
  <c r="AL33" i="4"/>
  <c r="AL31" i="4"/>
  <c r="AL19" i="4"/>
  <c r="AL35" i="4"/>
  <c r="AL29" i="4"/>
  <c r="J15" i="4"/>
  <c r="J38" i="4"/>
  <c r="J36" i="4"/>
  <c r="J34" i="4"/>
  <c r="J32" i="4"/>
  <c r="J30" i="4"/>
  <c r="J41" i="4"/>
  <c r="J39" i="4"/>
  <c r="J37" i="4"/>
  <c r="J35" i="4"/>
  <c r="J29" i="4"/>
  <c r="J19" i="4"/>
  <c r="J33" i="4"/>
  <c r="J28" i="4"/>
  <c r="J31" i="4"/>
  <c r="AD33" i="4"/>
  <c r="AD19" i="4"/>
  <c r="AD38" i="4"/>
  <c r="AD34" i="4"/>
  <c r="AD31" i="4"/>
  <c r="AD39" i="4"/>
  <c r="AD32" i="4"/>
  <c r="AD29" i="4"/>
  <c r="AD41" i="4"/>
  <c r="AD28" i="4"/>
  <c r="AD30" i="4"/>
  <c r="AL13" i="4"/>
  <c r="AL18" i="4"/>
  <c r="AL17" i="4"/>
  <c r="AL10" i="4"/>
  <c r="AL11" i="4"/>
  <c r="AE4" i="4"/>
  <c r="AE7" i="4" s="1"/>
  <c r="AD11" i="4"/>
  <c r="AD13" i="4"/>
  <c r="J14" i="4"/>
  <c r="J7" i="4"/>
  <c r="J11" i="4"/>
  <c r="J20" i="4"/>
  <c r="J9" i="4"/>
  <c r="J17" i="4"/>
  <c r="J18" i="4"/>
  <c r="J10" i="4"/>
  <c r="K4" i="4"/>
  <c r="K15" i="4" s="1"/>
  <c r="J12" i="4"/>
  <c r="J16" i="4"/>
  <c r="J13" i="4"/>
  <c r="AL14" i="4"/>
  <c r="AL9" i="4"/>
  <c r="AL16" i="4"/>
  <c r="AL20" i="4"/>
  <c r="AM4" i="4"/>
  <c r="AM11" i="4" s="1"/>
  <c r="AE16" i="4" l="1"/>
  <c r="K11" i="4"/>
  <c r="AE15" i="4"/>
  <c r="K20" i="4"/>
  <c r="K38" i="4"/>
  <c r="K41" i="4"/>
  <c r="K39" i="4"/>
  <c r="K37" i="4"/>
  <c r="K35" i="4"/>
  <c r="K33" i="4"/>
  <c r="K31" i="4"/>
  <c r="K29" i="4"/>
  <c r="K28" i="4"/>
  <c r="K34" i="4"/>
  <c r="K30" i="4"/>
  <c r="K19" i="4"/>
  <c r="K36" i="4"/>
  <c r="K32" i="4"/>
  <c r="AE9" i="4"/>
  <c r="K16" i="4"/>
  <c r="AE20" i="4"/>
  <c r="K7" i="4"/>
  <c r="AM13" i="4"/>
  <c r="AM33" i="4"/>
  <c r="AM31" i="4"/>
  <c r="AM19" i="4"/>
  <c r="AM34" i="4"/>
  <c r="AM32" i="4"/>
  <c r="AM29" i="4"/>
  <c r="AM35" i="4"/>
  <c r="AM28" i="4"/>
  <c r="AM36" i="4"/>
  <c r="AM30" i="4"/>
  <c r="AM41" i="4"/>
  <c r="AG4" i="4"/>
  <c r="AH4" i="4" s="1"/>
  <c r="AE41" i="4"/>
  <c r="AE39" i="4"/>
  <c r="AE33" i="4"/>
  <c r="AE31" i="4"/>
  <c r="AE29" i="4"/>
  <c r="AE38" i="4"/>
  <c r="AE34" i="4"/>
  <c r="AE32" i="4"/>
  <c r="AE28" i="4"/>
  <c r="AE30" i="4"/>
  <c r="AE19" i="4"/>
  <c r="AE10" i="4"/>
  <c r="AE11" i="4"/>
  <c r="AE12" i="4"/>
  <c r="K18" i="4"/>
  <c r="AE13" i="4"/>
  <c r="AE18" i="4"/>
  <c r="AM15" i="4"/>
  <c r="AM18" i="4"/>
  <c r="AM9" i="4"/>
  <c r="AM7" i="4"/>
  <c r="AM10" i="4"/>
  <c r="AE14" i="4"/>
  <c r="AM12" i="4"/>
  <c r="AE17" i="4"/>
  <c r="AM16" i="4"/>
  <c r="K12" i="4"/>
  <c r="K9" i="4"/>
  <c r="K13" i="4"/>
  <c r="K17" i="4"/>
  <c r="K10" i="4"/>
  <c r="K14" i="4"/>
  <c r="AM14" i="4"/>
  <c r="AM17" i="4"/>
  <c r="AN4" i="4"/>
  <c r="AN16" i="4" s="1"/>
  <c r="AM20" i="4"/>
  <c r="AF20" i="4"/>
  <c r="AF18" i="4"/>
  <c r="AF17" i="4"/>
  <c r="AF12" i="4"/>
  <c r="AF10" i="4"/>
  <c r="AF14" i="4"/>
  <c r="AF7" i="4"/>
  <c r="AF9" i="4"/>
  <c r="AF15" i="4"/>
  <c r="AF11" i="4"/>
  <c r="AF13" i="4"/>
  <c r="AN13" i="4" l="1"/>
  <c r="AH38" i="4"/>
  <c r="AH36" i="4"/>
  <c r="AH34" i="4"/>
  <c r="AH32" i="4"/>
  <c r="AH30" i="4"/>
  <c r="AH41" i="4"/>
  <c r="AH39" i="4"/>
  <c r="AH35" i="4"/>
  <c r="AH33" i="4"/>
  <c r="AH29" i="4"/>
  <c r="AH28" i="4"/>
  <c r="AH31" i="4"/>
  <c r="AH19" i="4"/>
  <c r="AG39" i="4"/>
  <c r="AG35" i="4"/>
  <c r="AG32" i="4"/>
  <c r="AG36" i="4"/>
  <c r="AG29" i="4"/>
  <c r="AG28" i="4"/>
  <c r="AG30" i="4"/>
  <c r="AG41" i="4"/>
  <c r="AG33" i="4"/>
  <c r="AG38" i="4"/>
  <c r="AG34" i="4"/>
  <c r="AG31" i="4"/>
  <c r="AG19" i="4"/>
  <c r="AN14" i="4"/>
  <c r="AN36" i="4"/>
  <c r="AN34" i="4"/>
  <c r="AN32" i="4"/>
  <c r="AN30" i="4"/>
  <c r="AN41" i="4"/>
  <c r="AN37" i="4"/>
  <c r="AN35" i="4"/>
  <c r="AN33" i="4"/>
  <c r="AN29" i="4"/>
  <c r="AN28" i="4"/>
  <c r="AN19" i="4"/>
  <c r="AN31" i="4"/>
  <c r="AG16" i="4"/>
  <c r="AH14" i="4"/>
  <c r="AH16" i="4"/>
  <c r="AH17" i="4"/>
  <c r="AH10" i="4"/>
  <c r="AH12" i="4"/>
  <c r="AI4" i="4"/>
  <c r="AH20" i="4"/>
  <c r="AH15" i="4"/>
  <c r="AH9" i="4"/>
  <c r="AH11" i="4"/>
  <c r="AH7" i="4"/>
  <c r="AH13" i="4"/>
  <c r="AH18" i="4"/>
  <c r="AN11" i="4"/>
  <c r="AN15" i="4"/>
  <c r="AN9" i="4"/>
  <c r="AN10" i="4"/>
  <c r="AN7" i="4"/>
  <c r="AN12" i="4"/>
  <c r="AO4" i="4"/>
  <c r="AN17" i="4"/>
  <c r="AN18" i="4"/>
  <c r="AN20" i="4"/>
  <c r="AG20" i="4"/>
  <c r="AG18" i="4"/>
  <c r="AG17" i="4"/>
  <c r="AO9" i="4"/>
  <c r="AG10" i="4"/>
  <c r="AG9" i="4"/>
  <c r="AG14" i="4"/>
  <c r="AG7" i="4"/>
  <c r="AG12" i="4"/>
  <c r="AG15" i="4"/>
  <c r="AG11" i="4"/>
  <c r="AG13" i="4"/>
  <c r="AI41" i="4" l="1"/>
  <c r="AI39" i="4"/>
  <c r="AI35" i="4"/>
  <c r="AI33" i="4"/>
  <c r="AI31" i="4"/>
  <c r="AI29" i="4"/>
  <c r="AI36" i="4"/>
  <c r="AI30" i="4"/>
  <c r="AI34" i="4"/>
  <c r="AI19" i="4"/>
  <c r="AI32" i="4"/>
  <c r="AI28" i="4"/>
  <c r="AO38" i="4"/>
  <c r="AO41" i="4"/>
  <c r="AO39" i="4"/>
  <c r="AO37" i="4"/>
  <c r="AO35" i="4"/>
  <c r="AO33" i="4"/>
  <c r="AO31" i="4"/>
  <c r="AO29" i="4"/>
  <c r="AO34" i="4"/>
  <c r="AO28" i="4"/>
  <c r="AO19" i="4"/>
  <c r="AO32" i="4"/>
  <c r="AO36" i="4"/>
  <c r="AO30" i="4"/>
  <c r="AI15" i="4"/>
  <c r="AI14" i="4"/>
  <c r="AI18" i="4"/>
  <c r="AI11" i="4"/>
  <c r="AI7" i="4"/>
  <c r="AI10" i="4"/>
  <c r="AI20" i="4"/>
  <c r="AI17" i="4"/>
  <c r="AJ4" i="4"/>
  <c r="AI13" i="4"/>
  <c r="AI9" i="4"/>
  <c r="AI16" i="4"/>
  <c r="AI12" i="4"/>
  <c r="AO7" i="4"/>
  <c r="AO16" i="4"/>
  <c r="AO14" i="4"/>
  <c r="AO13" i="4"/>
  <c r="AO12" i="4"/>
  <c r="AO10" i="4"/>
  <c r="AO15" i="4"/>
  <c r="AO11" i="4"/>
  <c r="AP15" i="4"/>
  <c r="AO17" i="4"/>
  <c r="AO18" i="4"/>
  <c r="AO20" i="4"/>
  <c r="AP13" i="4"/>
  <c r="AP10" i="4"/>
  <c r="AP11" i="4"/>
  <c r="AJ30" i="4" l="1"/>
  <c r="AJ19" i="4"/>
  <c r="AJ41" i="4"/>
  <c r="AJ34" i="4"/>
  <c r="AJ33" i="4"/>
  <c r="AJ31" i="4"/>
  <c r="AJ32" i="4"/>
  <c r="AJ28" i="4"/>
  <c r="AJ39" i="4"/>
  <c r="AJ36" i="4"/>
  <c r="AJ35" i="4"/>
  <c r="AJ29" i="4"/>
  <c r="AJ14" i="4"/>
  <c r="AJ16" i="4"/>
  <c r="AJ7" i="4"/>
  <c r="AJ13" i="4"/>
  <c r="AJ10" i="4"/>
  <c r="AJ17" i="4"/>
  <c r="AJ12" i="4"/>
  <c r="AJ11" i="4"/>
  <c r="AJ15" i="4"/>
  <c r="AJ18" i="4"/>
  <c r="AJ20" i="4"/>
  <c r="AJ9" i="4"/>
  <c r="AP7" i="4"/>
  <c r="AP14" i="4"/>
  <c r="AP12" i="4"/>
  <c r="AP9" i="4"/>
  <c r="AP17" i="4"/>
  <c r="AP18" i="4"/>
  <c r="AQ4" i="4"/>
  <c r="AQ39" i="4" l="1"/>
  <c r="AQ37" i="4"/>
  <c r="AQ35" i="4"/>
  <c r="AQ33" i="4"/>
  <c r="AQ31" i="4"/>
  <c r="AQ29" i="4"/>
  <c r="AQ38" i="4"/>
  <c r="AQ36" i="4"/>
  <c r="AQ34" i="4"/>
  <c r="AQ20" i="4"/>
  <c r="AQ19" i="4"/>
  <c r="AQ30" i="4"/>
  <c r="AQ28" i="4"/>
  <c r="AQ32" i="4"/>
  <c r="AQ13" i="4"/>
  <c r="AQ16" i="4"/>
  <c r="AQ15" i="4"/>
  <c r="AQ11" i="4"/>
  <c r="AQ14" i="4"/>
  <c r="AQ12" i="4"/>
  <c r="AQ9" i="4"/>
  <c r="AQ18" i="4"/>
  <c r="AR4" i="4"/>
  <c r="AQ17" i="4"/>
  <c r="AQ7" i="4"/>
  <c r="AQ10" i="4"/>
  <c r="AR39" i="4" l="1"/>
  <c r="AR37" i="4"/>
  <c r="AR38" i="4"/>
  <c r="AR36" i="4"/>
  <c r="AR34" i="4"/>
  <c r="AR32" i="4"/>
  <c r="AR30" i="4"/>
  <c r="AR28" i="4"/>
  <c r="AR35" i="4"/>
  <c r="AR20" i="4"/>
  <c r="AR19" i="4"/>
  <c r="AR31" i="4"/>
  <c r="AR33" i="4"/>
  <c r="AR29" i="4"/>
  <c r="AR10" i="4"/>
  <c r="AR16" i="4"/>
  <c r="AR15" i="4"/>
  <c r="AR14" i="4"/>
  <c r="AR13" i="4"/>
  <c r="AR11" i="4"/>
  <c r="AR9" i="4"/>
  <c r="AS4" i="4"/>
  <c r="AS15" i="4" s="1"/>
  <c r="AR17" i="4"/>
  <c r="AR18" i="4"/>
  <c r="AR7" i="4"/>
  <c r="AR12" i="4"/>
  <c r="AS7" i="4" l="1"/>
  <c r="AS13" i="4"/>
  <c r="AS38" i="4"/>
  <c r="AS36" i="4"/>
  <c r="AS30" i="4"/>
  <c r="AS19" i="4"/>
  <c r="AS39" i="4"/>
  <c r="AS31" i="4"/>
  <c r="AS33" i="4"/>
  <c r="AS28" i="4"/>
  <c r="AS34" i="4"/>
  <c r="AS32" i="4"/>
  <c r="AS29" i="4"/>
  <c r="AS37" i="4"/>
  <c r="AS35" i="4"/>
  <c r="AS11" i="4"/>
  <c r="AS9" i="4"/>
  <c r="AS10" i="4"/>
  <c r="AS16" i="4"/>
  <c r="AS14" i="4"/>
  <c r="AS17" i="4"/>
  <c r="AS18" i="4"/>
  <c r="AT4" i="4"/>
  <c r="AS20" i="4"/>
  <c r="AS12" i="4"/>
  <c r="AT10" i="4" l="1"/>
  <c r="AT38" i="4"/>
  <c r="AT36" i="4"/>
  <c r="AT34" i="4"/>
  <c r="AT32" i="4"/>
  <c r="AT30" i="4"/>
  <c r="AT39" i="4"/>
  <c r="AT37" i="4"/>
  <c r="AT35" i="4"/>
  <c r="AT33" i="4"/>
  <c r="AT19" i="4"/>
  <c r="AT31" i="4"/>
  <c r="AT28" i="4"/>
  <c r="AT29" i="4"/>
  <c r="AT14" i="4"/>
  <c r="AT9" i="4"/>
  <c r="AT11" i="4"/>
  <c r="AT7" i="4"/>
  <c r="AT15" i="4"/>
  <c r="AT12" i="4"/>
  <c r="AU10" i="4"/>
  <c r="AT17" i="4"/>
  <c r="AT18" i="4"/>
  <c r="AT20" i="4"/>
  <c r="AT13" i="4"/>
  <c r="AT16" i="4"/>
  <c r="AU14" i="4"/>
  <c r="AU13" i="4"/>
  <c r="AU16" i="4"/>
  <c r="AU7" i="4" l="1"/>
  <c r="AU12" i="4"/>
  <c r="AU15" i="4"/>
  <c r="AU11" i="4"/>
  <c r="AU9" i="4"/>
  <c r="AV4" i="4"/>
  <c r="AU17" i="4"/>
  <c r="AU18" i="4"/>
  <c r="AX4" i="4" l="1"/>
  <c r="AV40" i="4"/>
  <c r="AV28" i="4"/>
  <c r="AV33" i="4"/>
  <c r="AV29" i="4"/>
  <c r="AV34" i="4"/>
  <c r="AV32" i="4"/>
  <c r="AV37" i="4"/>
  <c r="AV35" i="4"/>
  <c r="AV38" i="4"/>
  <c r="AV36" i="4"/>
  <c r="AV30" i="4"/>
  <c r="AV19" i="4"/>
  <c r="AV20" i="4"/>
  <c r="AV39" i="4"/>
  <c r="AV31" i="4"/>
  <c r="AV9" i="4"/>
  <c r="AV12" i="4"/>
  <c r="AV14" i="4"/>
  <c r="AV13" i="4"/>
  <c r="AV16" i="4"/>
  <c r="AV15" i="4"/>
  <c r="AV11" i="4"/>
  <c r="AV10" i="4"/>
  <c r="AV7" i="4"/>
  <c r="AW18" i="4"/>
  <c r="AW17" i="4"/>
  <c r="AV17" i="4"/>
  <c r="AV18" i="4"/>
  <c r="AW9" i="4"/>
  <c r="AW12" i="4"/>
  <c r="AW11" i="4"/>
  <c r="AW10" i="4"/>
  <c r="AW14" i="4"/>
  <c r="AW13" i="4"/>
  <c r="AW16" i="4"/>
  <c r="AW15" i="4"/>
  <c r="AW7" i="4"/>
  <c r="AY4" i="4" l="1"/>
  <c r="AX39" i="4"/>
  <c r="AX37" i="4"/>
  <c r="AX40" i="4"/>
  <c r="AX38" i="4"/>
  <c r="AX36" i="4"/>
  <c r="AX34" i="4"/>
  <c r="AX32" i="4"/>
  <c r="AX30" i="4"/>
  <c r="AX28" i="4"/>
  <c r="AX35" i="4"/>
  <c r="AX19" i="4"/>
  <c r="AX31" i="4"/>
  <c r="AX33" i="4"/>
  <c r="AX29" i="4"/>
  <c r="AX20" i="4"/>
  <c r="AX17" i="4"/>
  <c r="AX18" i="4"/>
  <c r="AX12" i="4"/>
  <c r="AX9" i="4"/>
  <c r="AX10" i="4"/>
  <c r="AX11" i="4"/>
  <c r="AX7" i="4"/>
  <c r="AX15" i="4"/>
  <c r="AX16" i="4"/>
  <c r="AX14" i="4"/>
  <c r="AX13" i="4"/>
  <c r="AY41" i="4" l="1"/>
  <c r="AY35" i="4"/>
  <c r="AY34" i="4"/>
  <c r="AY32" i="4"/>
  <c r="AY19" i="4"/>
  <c r="AY37" i="4"/>
  <c r="AY31" i="4"/>
  <c r="AY30" i="4"/>
  <c r="AY38" i="4"/>
  <c r="AY36" i="4"/>
  <c r="AY39" i="4"/>
  <c r="AY40" i="4"/>
  <c r="AY33" i="4"/>
  <c r="AY29" i="4"/>
  <c r="AY28" i="4"/>
  <c r="AY17" i="4"/>
  <c r="AY18" i="4"/>
  <c r="AY20" i="4"/>
  <c r="AY15" i="4"/>
  <c r="AY9" i="4"/>
  <c r="AY12" i="4"/>
  <c r="AY16" i="4"/>
  <c r="AY13" i="4"/>
  <c r="AY11" i="4"/>
  <c r="AY7" i="4"/>
  <c r="AY14" i="4"/>
  <c r="AY10" i="4"/>
  <c r="C5" i="3" l="1"/>
  <c r="L10" i="4" l="1"/>
  <c r="L14" i="4"/>
  <c r="L16" i="4"/>
  <c r="L17" i="4"/>
  <c r="L20" i="4"/>
  <c r="L12" i="4"/>
  <c r="L13" i="4"/>
  <c r="L15" i="4"/>
  <c r="L11" i="4"/>
  <c r="L7" i="4"/>
  <c r="L18" i="4"/>
  <c r="M4" i="4"/>
  <c r="M41" i="4" l="1"/>
  <c r="M39" i="4"/>
  <c r="M37" i="4"/>
  <c r="M35" i="4"/>
  <c r="M33" i="4"/>
  <c r="M29" i="4"/>
  <c r="M38" i="4"/>
  <c r="M36" i="4"/>
  <c r="M34" i="4"/>
  <c r="M28" i="4"/>
  <c r="M32" i="4"/>
  <c r="M30" i="4"/>
  <c r="M19" i="4"/>
  <c r="M14" i="4"/>
  <c r="M10" i="4"/>
  <c r="N4" i="4"/>
  <c r="N7" i="4" s="1"/>
  <c r="M17" i="4"/>
  <c r="M20" i="4"/>
  <c r="M18" i="4"/>
  <c r="M12" i="4"/>
  <c r="M13" i="4"/>
  <c r="M7" i="4"/>
  <c r="M11" i="4"/>
  <c r="M15" i="4"/>
  <c r="M16" i="4"/>
  <c r="M9" i="4"/>
  <c r="N12" i="4" l="1"/>
  <c r="N16" i="4"/>
  <c r="N41" i="4"/>
  <c r="N39" i="4"/>
  <c r="N38" i="4"/>
  <c r="N36" i="4"/>
  <c r="N34" i="4"/>
  <c r="N32" i="4"/>
  <c r="N30" i="4"/>
  <c r="N28" i="4"/>
  <c r="N33" i="4"/>
  <c r="N35" i="4"/>
  <c r="N37" i="4"/>
  <c r="N29" i="4"/>
  <c r="N19" i="4"/>
  <c r="N11" i="4"/>
  <c r="O4" i="4"/>
  <c r="N18" i="4"/>
  <c r="N20" i="4"/>
  <c r="N15" i="4"/>
  <c r="N13" i="4"/>
  <c r="N14" i="4"/>
  <c r="N17" i="4"/>
  <c r="N9" i="4"/>
  <c r="N10" i="4"/>
  <c r="O17" i="4"/>
  <c r="O15" i="4"/>
  <c r="O16" i="4"/>
  <c r="O12" i="4"/>
  <c r="O14" i="4"/>
  <c r="O10" i="4" l="1"/>
  <c r="O41" i="4"/>
  <c r="O35" i="4"/>
  <c r="O19" i="4"/>
  <c r="O36" i="4"/>
  <c r="O37" i="4"/>
  <c r="O32" i="4"/>
  <c r="O38" i="4"/>
  <c r="O29" i="4"/>
  <c r="O39" i="4"/>
  <c r="O30" i="4"/>
  <c r="O34" i="4"/>
  <c r="O28" i="4"/>
  <c r="O20" i="4"/>
  <c r="O7" i="4"/>
  <c r="O11" i="4"/>
  <c r="O13" i="4"/>
  <c r="O18" i="4"/>
  <c r="P4" i="4"/>
  <c r="P14" i="4" s="1"/>
  <c r="O9" i="4"/>
  <c r="P7" i="4" l="1"/>
  <c r="P11" i="4"/>
  <c r="P15" i="4"/>
  <c r="P12" i="4"/>
  <c r="P16" i="4"/>
  <c r="P10" i="4"/>
  <c r="P38" i="4"/>
  <c r="P36" i="4"/>
  <c r="P34" i="4"/>
  <c r="P32" i="4"/>
  <c r="P30" i="4"/>
  <c r="P41" i="4"/>
  <c r="P39" i="4"/>
  <c r="P37" i="4"/>
  <c r="P35" i="4"/>
  <c r="P29" i="4"/>
  <c r="P28" i="4"/>
  <c r="P19" i="4"/>
  <c r="P13" i="4"/>
  <c r="P20" i="4"/>
  <c r="P18" i="4"/>
  <c r="P9" i="4"/>
  <c r="P17" i="4"/>
  <c r="Q14" i="4"/>
  <c r="Q16" i="4"/>
  <c r="Q7" i="4"/>
  <c r="Q9" i="4"/>
  <c r="R4" i="4"/>
  <c r="Q13" i="4"/>
  <c r="Q10" i="4"/>
  <c r="Q20" i="4"/>
  <c r="Q15" i="4"/>
  <c r="Q18" i="4"/>
  <c r="Q17" i="4"/>
  <c r="R12" i="4" l="1"/>
  <c r="R37" i="4"/>
  <c r="R29" i="4"/>
  <c r="R38" i="4"/>
  <c r="R19" i="4"/>
  <c r="R39" i="4"/>
  <c r="R30" i="4"/>
  <c r="R28" i="4"/>
  <c r="R41" i="4"/>
  <c r="R35" i="4"/>
  <c r="R31" i="4"/>
  <c r="R36" i="4"/>
  <c r="R17" i="4"/>
  <c r="R7" i="4"/>
  <c r="S4" i="4"/>
  <c r="R20" i="4"/>
  <c r="R9" i="4"/>
  <c r="R13" i="4"/>
  <c r="R18" i="4"/>
  <c r="R11" i="4"/>
  <c r="R14" i="4"/>
  <c r="R16" i="4"/>
  <c r="R10" i="4"/>
  <c r="R15" i="4"/>
  <c r="S41" i="4" l="1"/>
  <c r="S39" i="4"/>
  <c r="S37" i="4"/>
  <c r="S35" i="4"/>
  <c r="S31" i="4"/>
  <c r="S29" i="4"/>
  <c r="S38" i="4"/>
  <c r="S36" i="4"/>
  <c r="S19" i="4"/>
  <c r="S30" i="4"/>
  <c r="S28" i="4"/>
  <c r="S14" i="4"/>
  <c r="S13" i="4"/>
  <c r="S9" i="4"/>
  <c r="S20" i="4"/>
  <c r="S11" i="4"/>
  <c r="S15" i="4"/>
  <c r="S18" i="4"/>
  <c r="S16" i="4"/>
  <c r="T4" i="4"/>
  <c r="S12" i="4"/>
  <c r="S7" i="4"/>
  <c r="S17" i="4"/>
  <c r="S10" i="4"/>
  <c r="T14" i="4" l="1"/>
  <c r="T41" i="4"/>
  <c r="T39" i="4"/>
  <c r="T37" i="4"/>
  <c r="T38" i="4"/>
  <c r="T36" i="4"/>
  <c r="T30" i="4"/>
  <c r="T28" i="4"/>
  <c r="T35" i="4"/>
  <c r="T31" i="4"/>
  <c r="T19" i="4"/>
  <c r="T29" i="4"/>
  <c r="T13" i="4"/>
  <c r="T16" i="4"/>
  <c r="T9" i="4"/>
  <c r="T18" i="4"/>
  <c r="T10" i="4"/>
  <c r="T17" i="4"/>
  <c r="T11" i="4"/>
  <c r="T7" i="4"/>
  <c r="T12" i="4"/>
  <c r="U4" i="4"/>
  <c r="T15" i="4"/>
  <c r="T20" i="4"/>
  <c r="U38" i="4" l="1"/>
  <c r="U33" i="4"/>
  <c r="U30" i="4"/>
  <c r="U28" i="4"/>
  <c r="U39" i="4"/>
  <c r="U31" i="4"/>
  <c r="U35" i="4"/>
  <c r="U19" i="4"/>
  <c r="U41" i="4"/>
  <c r="U36" i="4"/>
  <c r="U29" i="4"/>
  <c r="U37" i="4"/>
  <c r="U12" i="4"/>
  <c r="U11" i="4"/>
  <c r="U13" i="4"/>
  <c r="U14" i="4"/>
  <c r="U20" i="4"/>
  <c r="U15" i="4"/>
  <c r="U9" i="4"/>
  <c r="U16" i="4"/>
  <c r="U17" i="4"/>
  <c r="U18" i="4"/>
  <c r="U10" i="4"/>
  <c r="U7" i="4"/>
  <c r="V15" i="4" l="1"/>
  <c r="V11" i="4"/>
  <c r="W4" i="4"/>
  <c r="V9" i="4"/>
  <c r="V17" i="4"/>
  <c r="V14" i="4"/>
  <c r="V7" i="4"/>
  <c r="V10" i="4"/>
  <c r="V18" i="4"/>
  <c r="V20" i="4"/>
  <c r="V16" i="4"/>
  <c r="W13" i="4" l="1"/>
  <c r="W38" i="4"/>
  <c r="W41" i="4"/>
  <c r="W39" i="4"/>
  <c r="W37" i="4"/>
  <c r="W35" i="4"/>
  <c r="W33" i="4"/>
  <c r="W31" i="4"/>
  <c r="W29" i="4"/>
  <c r="W36" i="4"/>
  <c r="W30" i="4"/>
  <c r="W28" i="4"/>
  <c r="W19" i="4"/>
  <c r="W12" i="4"/>
  <c r="W17" i="4"/>
  <c r="W7" i="4"/>
  <c r="W14" i="4"/>
  <c r="X4" i="4"/>
  <c r="W10" i="4"/>
  <c r="W9" i="4"/>
  <c r="W16" i="4"/>
  <c r="W20" i="4"/>
  <c r="W11" i="4"/>
  <c r="W15" i="4"/>
  <c r="W18" i="4"/>
  <c r="X35" i="4" l="1"/>
  <c r="X31" i="4"/>
  <c r="X41" i="4"/>
  <c r="X36" i="4"/>
  <c r="X29" i="4"/>
  <c r="X37" i="4"/>
  <c r="X30" i="4"/>
  <c r="X28" i="4"/>
  <c r="X38" i="4"/>
  <c r="X33" i="4"/>
  <c r="X19" i="4"/>
  <c r="X39" i="4"/>
  <c r="X11" i="4"/>
  <c r="X13" i="4"/>
  <c r="X16" i="4"/>
  <c r="X17" i="4"/>
  <c r="X12" i="4"/>
  <c r="X7" i="4"/>
  <c r="X9" i="4"/>
  <c r="X18" i="4"/>
  <c r="X14" i="4"/>
  <c r="X20" i="4"/>
  <c r="X10" i="4"/>
  <c r="X15" i="4"/>
  <c r="R8" i="4"/>
  <c r="AU8" i="4"/>
  <c r="AL8" i="4"/>
  <c r="H8" i="4"/>
  <c r="W8" i="4"/>
  <c r="AF8" i="4"/>
  <c r="AD8" i="4"/>
  <c r="AO8" i="4"/>
  <c r="J8" i="4"/>
  <c r="AJ8" i="4"/>
  <c r="AE8" i="4"/>
  <c r="AY8" i="4"/>
  <c r="AT8" i="4"/>
  <c r="L8" i="4"/>
  <c r="AW8" i="4"/>
  <c r="S8" i="4"/>
  <c r="AK8" i="4"/>
  <c r="T8" i="4"/>
  <c r="AA8" i="4"/>
  <c r="G8" i="4"/>
  <c r="V8" i="4"/>
  <c r="N8" i="4"/>
  <c r="AR8" i="4"/>
  <c r="AV8" i="4"/>
  <c r="I8" i="4"/>
  <c r="O8" i="4"/>
  <c r="AS8" i="4"/>
  <c r="AB8" i="4"/>
  <c r="M8" i="4"/>
  <c r="AQ8" i="4"/>
  <c r="AC8" i="4"/>
  <c r="AH8" i="4"/>
  <c r="K8" i="4"/>
  <c r="Z8" i="4"/>
  <c r="P8" i="4"/>
  <c r="Q8" i="4"/>
  <c r="AG8" i="4"/>
  <c r="U8" i="4"/>
  <c r="AM8" i="4"/>
  <c r="AN8" i="4"/>
  <c r="X8" i="4"/>
  <c r="AP8" i="4"/>
  <c r="AX8" i="4"/>
  <c r="Y8" i="4"/>
  <c r="AI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<sst xmlns="http://schemas.openxmlformats.org/spreadsheetml/2006/main" count="165" uniqueCount="77">
  <si>
    <t>Alex Kamano</t>
  </si>
  <si>
    <t>Date</t>
  </si>
  <si>
    <t>Description</t>
  </si>
  <si>
    <t>0</t>
  </si>
  <si>
    <t>Documentation</t>
  </si>
  <si>
    <t>MCD + MLD + DB</t>
  </si>
  <si>
    <t>Low Risk</t>
  </si>
  <si>
    <t>Create the initial planing</t>
  </si>
  <si>
    <t>Project skeleton setup</t>
  </si>
  <si>
    <t>UI/UX wireframes</t>
  </si>
  <si>
    <t>User Auth System</t>
  </si>
  <si>
    <t>Api endpoints setup</t>
  </si>
  <si>
    <t>Game core pygame</t>
  </si>
  <si>
    <t>Game api integration</t>
  </si>
  <si>
    <t>swagger doc api</t>
  </si>
  <si>
    <t>web leaderboard view</t>
  </si>
  <si>
    <t>securtiy data validation</t>
  </si>
  <si>
    <t>user install manuals</t>
  </si>
  <si>
    <t>write the documentation in continue</t>
  </si>
  <si>
    <t>Prepera the oral</t>
  </si>
  <si>
    <t>Analysis/Design</t>
  </si>
  <si>
    <t>Implementation</t>
  </si>
  <si>
    <t>work diary</t>
  </si>
  <si>
    <t>Time</t>
  </si>
  <si>
    <t>Start time</t>
  </si>
  <si>
    <t>End time</t>
  </si>
  <si>
    <t xml:space="preserve">others </t>
  </si>
  <si>
    <t>Tasks</t>
  </si>
  <si>
    <t>Start date</t>
  </si>
  <si>
    <t>Days</t>
  </si>
  <si>
    <t>Project start:</t>
  </si>
  <si>
    <t xml:space="preserve">Project start: </t>
  </si>
  <si>
    <t>Category</t>
  </si>
  <si>
    <t xml:space="preserve">Start date </t>
  </si>
  <si>
    <t>Project MA-Métier - Current Plan</t>
  </si>
  <si>
    <t xml:space="preserve">Documentation </t>
  </si>
  <si>
    <t xml:space="preserve">Create the planification, IceScrum and the repot Git </t>
  </si>
  <si>
    <t xml:space="preserve">Analysis/Design </t>
  </si>
  <si>
    <t>Create the MLD + Mcd for the DB</t>
  </si>
  <si>
    <t xml:space="preserve">Create the database </t>
  </si>
  <si>
    <t>Update the IceScrum by addinf task on the story 1</t>
  </si>
  <si>
    <t>Start creating the wireframe for the UI/UX</t>
  </si>
  <si>
    <t>Finish to create the wireframe for the UI/UX</t>
  </si>
  <si>
    <t>Update the IceScrum by adding task on the story 3</t>
  </si>
  <si>
    <t>Create the skeleton of the project. Utilisation de Gemini pour générer un .gitignore standardisé pour Python afin d'éviter de polluer le repo Git</t>
  </si>
  <si>
    <t xml:space="preserve">Architecture du projet </t>
  </si>
  <si>
    <t>Brainstorming about the routes and planification on how to organise it</t>
  </si>
  <si>
    <t>Put all the actuals documentation on github and push the skeleton of the project</t>
  </si>
  <si>
    <t>Meeting</t>
  </si>
  <si>
    <t>Meeting with the project's chief to discuss about the CDC</t>
  </si>
  <si>
    <t>Update of the data and publish it on Github</t>
  </si>
  <si>
    <t>Add the logic to login and register</t>
  </si>
  <si>
    <t xml:space="preserve">Implementation </t>
  </si>
  <si>
    <t>Add some security about the coockies, sessions and pwd</t>
  </si>
  <si>
    <t>Add some comentary</t>
  </si>
  <si>
    <t>Update the IceScrum for the story 4</t>
  </si>
  <si>
    <t>Add the function logout</t>
  </si>
  <si>
    <t>Write of the final report</t>
  </si>
  <si>
    <t>Project MA-Métier - Initial Plan</t>
  </si>
  <si>
    <t xml:space="preserve">Add the page register, login, home and base with the css </t>
  </si>
  <si>
    <t xml:space="preserve">Discussion with the PO about the correction to make on the project </t>
  </si>
  <si>
    <t xml:space="preserve">Rewrite the MCD/MLD due to some bug about the functionnalities </t>
  </si>
  <si>
    <t xml:space="preserve">Add a wiki to the repo and add the current documentation too </t>
  </si>
  <si>
    <t>Start creating paygame</t>
  </si>
  <si>
    <t xml:space="preserve">Finsih the base of the game </t>
  </si>
  <si>
    <t xml:space="preserve">Start to create the project GIT </t>
  </si>
  <si>
    <t>Continue to create the project GIT</t>
  </si>
  <si>
    <t xml:space="preserve">Update the report </t>
  </si>
  <si>
    <t>Modify the project on git</t>
  </si>
  <si>
    <t xml:space="preserve">Add a gitAction to check all the push and pull for develop and main </t>
  </si>
  <si>
    <t>Update the Git project</t>
  </si>
  <si>
    <t>Create a security for the pseudo</t>
  </si>
  <si>
    <t xml:space="preserve">Implemant swagger in the code </t>
  </si>
  <si>
    <t>Create the leaderboard view</t>
  </si>
  <si>
    <t>Continue the leaderboard view</t>
  </si>
  <si>
    <t>Meeting with the project's chief to discuss about the sprint</t>
  </si>
  <si>
    <t>Rewrite the leaderboard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</si>
</sst>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 #,##0_ ;_ * \-#,##0_ ;_ * &quot;-&quot;_ ;_ @_ "/>
    <numFmt numFmtId="166" formatCode="d"/>
    <numFmt numFmtId="169" formatCode="hh:mm:ss;@"/>
    <numFmt numFmtId="170" formatCode="dd\.mm\.yyyy;@"/>
  </numFmts>
  <fonts count="24" x14ac:knownFonts="1">
    <font>
      <sz val="11"/>
      <color theme="1"/>
      <name val="Calibri"/>
      <family val="2"/>
      <scheme val="minor"/>
    </font>
    <font>
      <sz val="11"/>
      <color theme="0"/>
      <name val="Calibri"/>
      <family val="2"/>
      <scheme val="minor"/>
    </font>
    <font>
      <sz val="48"/>
      <color theme="0"/>
      <name val="Calibri"/>
      <family val="2"/>
      <scheme val="minor"/>
    </font>
    <font>
      <b/>
      <sz val="12"/>
      <color theme="0"/>
      <name val="Calibri"/>
      <family val="2"/>
      <scheme val="minor"/>
    </font>
    <font>
      <b/>
      <sz val="12"/>
      <color theme="1"/>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b/>
      <sz val="11"/>
      <color theme="0"/>
      <name val="Calibri"/>
      <family val="2"/>
      <scheme val="minor"/>
    </font>
    <font>
      <b/>
      <sz val="26"/>
      <name val="Calibri Light"/>
      <family val="2"/>
      <scheme val="major"/>
    </font>
    <font>
      <b/>
      <sz val="26"/>
      <color theme="0"/>
      <name val="Calibri Light"/>
      <family val="2"/>
      <scheme val="major"/>
    </font>
    <font>
      <sz val="14"/>
      <color theme="0"/>
      <name val="Calibri"/>
      <family val="2"/>
      <scheme val="minor"/>
    </font>
    <font>
      <b/>
      <sz val="16"/>
      <color theme="0"/>
      <name val="Calibri"/>
      <family val="2"/>
      <scheme val="minor"/>
    </font>
    <font>
      <sz val="11"/>
      <color rgb="FF000000"/>
      <name val="Calibri"/>
      <family val="2"/>
      <scheme val="minor"/>
    </font>
    <font>
      <b/>
      <sz val="11"/>
      <name val="Calibri"/>
      <family val="2"/>
      <scheme val="minor"/>
    </font>
    <font>
      <sz val="11"/>
      <color theme="2" tint="-0.14999847407452621"/>
      <name val="Calibri"/>
      <family val="2"/>
      <scheme val="minor"/>
    </font>
    <font>
      <sz val="11"/>
      <name val="Calibri"/>
      <family val="2"/>
      <scheme val="minor"/>
    </font>
    <font>
      <b/>
      <sz val="16"/>
      <color rgb="FF000000"/>
      <name val="Calibri"/>
      <family val="2"/>
      <scheme val="minor"/>
    </font>
    <font>
      <sz val="10"/>
      <color theme="0"/>
      <name val="Calibri"/>
      <family val="2"/>
      <scheme val="minor"/>
    </font>
    <font>
      <sz val="10"/>
      <name val="Calibri"/>
      <family val="2"/>
      <scheme val="minor"/>
    </font>
    <font>
      <b/>
      <sz val="10"/>
      <color theme="0"/>
      <name val="Calibri"/>
      <family val="2"/>
      <scheme val="minor"/>
    </font>
    <font>
      <b/>
      <sz val="16"/>
      <color theme="1" tint="0.14999847407452621"/>
      <name val="Calibri"/>
      <family val="2"/>
      <scheme val="minor"/>
    </font>
    <font>
      <sz val="11"/>
      <color theme="1" tint="0.14999847407452621"/>
      <name val="Calibri"/>
      <family val="2"/>
      <scheme val="minor"/>
    </font>
    <font>
      <sz val="11"/>
      <color theme="1"/>
      <name val="Aptos Serif"/>
      <family val="1"/>
    </font>
  </fonts>
  <fills count="15">
    <fill>
      <patternFill patternType="none"/>
    </fill>
    <fill>
      <patternFill patternType="gray125"/>
    </fill>
    <fill>
      <patternFill patternType="solid">
        <fgColor theme="4" tint="-0.499984740745262"/>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2" tint="-0.1499984740745262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1" tint="0.499984740745262"/>
        <bgColor theme="4"/>
      </patternFill>
    </fill>
    <fill>
      <patternFill patternType="solid">
        <fgColor theme="0"/>
        <bgColor indexed="64"/>
      </patternFill>
    </fill>
    <fill>
      <patternFill patternType="solid">
        <fgColor rgb="FFFF0000"/>
        <bgColor indexed="64"/>
      </patternFill>
    </fill>
    <fill>
      <patternFill patternType="solid">
        <fgColor theme="4"/>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theme="4" tint="0.39997558519241921"/>
      </bottom>
      <diagonal/>
    </border>
    <border>
      <left style="thin">
        <color theme="1" tint="0.499984740745262"/>
      </left>
      <right style="thin">
        <color theme="1" tint="0.499984740745262"/>
      </right>
      <top/>
      <bottom style="thin">
        <color theme="1" tint="0.4999847407452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theme="1" tint="0.499984740745262"/>
      </right>
      <top/>
      <bottom/>
      <diagonal/>
    </border>
    <border>
      <left style="thin">
        <color theme="1" tint="0.499984740745262"/>
      </left>
      <right style="thin">
        <color theme="1" tint="0.499984740745262"/>
      </right>
      <top/>
      <bottom/>
      <diagonal/>
    </border>
    <border>
      <left style="thin">
        <color indexed="64"/>
      </left>
      <right/>
      <top/>
      <bottom/>
      <diagonal/>
    </border>
    <border>
      <left style="thin">
        <color indexed="64"/>
      </left>
      <right/>
      <top/>
      <bottom style="thin">
        <color indexed="64"/>
      </bottom>
      <diagonal/>
    </border>
    <border>
      <left/>
      <right style="thin">
        <color theme="1" tint="0.499984740745262"/>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bottom style="thin">
        <color theme="0" tint="-0.499984740745262"/>
      </bottom>
      <diagonal/>
    </border>
    <border>
      <left/>
      <right style="thin">
        <color indexed="64"/>
      </right>
      <top style="thin">
        <color indexed="64"/>
      </top>
      <bottom style="thin">
        <color indexed="64"/>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499984740745262"/>
      </right>
      <top style="thin">
        <color theme="0" tint="-0.499984740745262"/>
      </top>
      <bottom style="thin">
        <color theme="1"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0"/>
      </left>
      <right style="thin">
        <color theme="1"/>
      </right>
      <top style="thin">
        <color theme="1"/>
      </top>
      <bottom style="thin">
        <color theme="1"/>
      </bottom>
      <diagonal/>
    </border>
    <border>
      <left style="thin">
        <color theme="1"/>
      </left>
      <right style="thin">
        <color theme="0"/>
      </right>
      <top style="thin">
        <color theme="1"/>
      </top>
      <bottom style="thin">
        <color theme="1"/>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499984740745262"/>
      </right>
      <top/>
      <bottom style="thin">
        <color theme="1" tint="0.34998626667073579"/>
      </bottom>
      <diagonal/>
    </border>
    <border>
      <left/>
      <right/>
      <top/>
      <bottom style="thin">
        <color theme="0"/>
      </bottom>
      <diagonal/>
    </border>
    <border>
      <left/>
      <right/>
      <top style="thin">
        <color theme="0"/>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5">
    <xf numFmtId="0" fontId="0" fillId="0" borderId="0"/>
    <xf numFmtId="164" fontId="5" fillId="0" borderId="0" applyFont="0" applyFill="0" applyBorder="0" applyAlignment="0" applyProtection="0"/>
    <xf numFmtId="0" fontId="6" fillId="0" borderId="0" applyNumberFormat="0" applyFill="0" applyBorder="0" applyAlignment="0" applyProtection="0"/>
    <xf numFmtId="0" fontId="7" fillId="0" borderId="13" applyNumberFormat="0" applyFill="0" applyAlignment="0" applyProtection="0"/>
    <xf numFmtId="14" fontId="5" fillId="0" borderId="0" applyFont="0" applyFill="0" applyBorder="0">
      <alignment horizontal="center" vertical="center"/>
    </xf>
  </cellStyleXfs>
  <cellXfs count="105">
    <xf numFmtId="0" fontId="0" fillId="0" borderId="0" xfId="0"/>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4" fillId="0" borderId="4" xfId="0" applyFont="1" applyBorder="1" applyAlignment="1">
      <alignment horizontal="center"/>
    </xf>
    <xf numFmtId="0" fontId="0" fillId="6" borderId="0" xfId="0" applyFill="1"/>
    <xf numFmtId="0" fontId="12" fillId="7" borderId="0" xfId="0" applyFont="1" applyFill="1" applyAlignment="1">
      <alignment horizontal="left" vertical="center" indent="2"/>
    </xf>
    <xf numFmtId="0" fontId="0" fillId="7" borderId="0" xfId="0" applyFill="1" applyAlignment="1">
      <alignment horizontal="left" vertical="center" indent="2"/>
    </xf>
    <xf numFmtId="0" fontId="0" fillId="7" borderId="0" xfId="0" applyFill="1" applyAlignment="1">
      <alignment horizontal="center"/>
    </xf>
    <xf numFmtId="0" fontId="0" fillId="7" borderId="0" xfId="0" applyFill="1"/>
    <xf numFmtId="0" fontId="13" fillId="7" borderId="0" xfId="0" applyFont="1" applyFill="1"/>
    <xf numFmtId="0" fontId="14" fillId="8" borderId="14" xfId="3" applyFont="1" applyFill="1" applyBorder="1" applyAlignment="1">
      <alignment horizontal="left" vertical="center" indent="2"/>
    </xf>
    <xf numFmtId="14" fontId="14" fillId="8" borderId="14" xfId="4" applyFont="1" applyFill="1" applyBorder="1" applyAlignment="1">
      <alignment horizontal="left" vertical="center"/>
    </xf>
    <xf numFmtId="14" fontId="15" fillId="8" borderId="14" xfId="4" applyFont="1" applyFill="1" applyBorder="1" applyAlignment="1">
      <alignment horizontal="left" vertical="center"/>
    </xf>
    <xf numFmtId="0" fontId="16" fillId="8" borderId="0" xfId="0" applyFont="1" applyFill="1"/>
    <xf numFmtId="0" fontId="13" fillId="7" borderId="15" xfId="0" applyFont="1" applyFill="1" applyBorder="1"/>
    <xf numFmtId="0" fontId="16" fillId="8" borderId="17" xfId="3" applyFont="1" applyFill="1" applyBorder="1" applyAlignment="1">
      <alignment horizontal="left" vertical="center" indent="2"/>
    </xf>
    <xf numFmtId="49" fontId="15" fillId="8" borderId="18" xfId="0" applyNumberFormat="1" applyFont="1" applyFill="1" applyBorder="1" applyAlignment="1">
      <alignment horizontal="left" vertical="center"/>
    </xf>
    <xf numFmtId="0" fontId="16" fillId="8" borderId="18" xfId="0" applyFont="1" applyFill="1" applyBorder="1"/>
    <xf numFmtId="0" fontId="13" fillId="7" borderId="19" xfId="0" applyFont="1" applyFill="1" applyBorder="1"/>
    <xf numFmtId="0" fontId="16" fillId="8" borderId="17" xfId="0" applyFont="1" applyFill="1" applyBorder="1" applyAlignment="1">
      <alignment horizontal="left" vertical="center" indent="2"/>
    </xf>
    <xf numFmtId="0" fontId="16" fillId="8" borderId="18" xfId="0" applyFont="1" applyFill="1" applyBorder="1" applyAlignment="1">
      <alignment horizontal="left" vertical="center" indent="2"/>
    </xf>
    <xf numFmtId="0" fontId="13" fillId="7" borderId="20" xfId="0" applyFont="1" applyFill="1" applyBorder="1"/>
    <xf numFmtId="0" fontId="14" fillId="10" borderId="21" xfId="0" applyFont="1" applyFill="1" applyBorder="1" applyAlignment="1">
      <alignment horizontal="left" vertical="center" indent="1"/>
    </xf>
    <xf numFmtId="0" fontId="14" fillId="10" borderId="22" xfId="0" applyFont="1" applyFill="1" applyBorder="1" applyAlignment="1">
      <alignment horizontal="center" vertical="center" wrapText="1"/>
    </xf>
    <xf numFmtId="0" fontId="14" fillId="10" borderId="23" xfId="0" applyFont="1" applyFill="1" applyBorder="1" applyAlignment="1">
      <alignment horizontal="center" vertical="center" wrapText="1"/>
    </xf>
    <xf numFmtId="0" fontId="14" fillId="10" borderId="20" xfId="0" applyFont="1" applyFill="1" applyBorder="1" applyAlignment="1">
      <alignment horizontal="center" vertical="center" wrapText="1"/>
    </xf>
    <xf numFmtId="0" fontId="20" fillId="11" borderId="0" xfId="0" applyFont="1" applyFill="1" applyAlignment="1">
      <alignment horizontal="center" vertical="center" wrapText="1"/>
    </xf>
    <xf numFmtId="0" fontId="18" fillId="12" borderId="24" xfId="0" applyFont="1" applyFill="1" applyBorder="1" applyAlignment="1">
      <alignment horizontal="center" vertical="center" shrinkToFit="1"/>
    </xf>
    <xf numFmtId="0" fontId="16" fillId="5" borderId="25" xfId="0" applyFont="1" applyFill="1" applyBorder="1" applyAlignment="1">
      <alignment horizontal="left" vertical="center" wrapText="1" indent="2"/>
    </xf>
    <xf numFmtId="0" fontId="16" fillId="5" borderId="1" xfId="0" applyFont="1" applyFill="1" applyBorder="1" applyAlignment="1" applyProtection="1">
      <alignment horizontal="center" vertical="center"/>
      <protection locked="0"/>
    </xf>
    <xf numFmtId="14" fontId="16" fillId="5" borderId="1" xfId="4" applyFont="1" applyFill="1" applyBorder="1">
      <alignment horizontal="center" vertical="center"/>
    </xf>
    <xf numFmtId="164" fontId="16" fillId="5" borderId="16" xfId="1" applyFont="1" applyFill="1" applyBorder="1" applyAlignment="1">
      <alignment horizontal="center" vertical="center"/>
    </xf>
    <xf numFmtId="0" fontId="16" fillId="7" borderId="0" xfId="0" applyFont="1" applyFill="1" applyAlignment="1">
      <alignment horizontal="center" vertical="center"/>
    </xf>
    <xf numFmtId="0" fontId="1" fillId="5" borderId="26" xfId="0" applyFont="1" applyFill="1" applyBorder="1" applyAlignment="1">
      <alignment horizontal="center" vertical="center"/>
    </xf>
    <xf numFmtId="0" fontId="1" fillId="5" borderId="27" xfId="0" applyFont="1" applyFill="1" applyBorder="1" applyAlignment="1">
      <alignment horizontal="center" vertical="center"/>
    </xf>
    <xf numFmtId="0" fontId="0" fillId="5" borderId="28" xfId="0" applyFill="1" applyBorder="1"/>
    <xf numFmtId="0" fontId="1" fillId="13" borderId="27" xfId="0" applyFont="1" applyFill="1" applyBorder="1" applyAlignment="1">
      <alignment horizontal="center" vertical="center"/>
    </xf>
    <xf numFmtId="0" fontId="16" fillId="12" borderId="25" xfId="0" applyFont="1" applyFill="1" applyBorder="1" applyAlignment="1">
      <alignment horizontal="left" vertical="center" wrapText="1" indent="2"/>
    </xf>
    <xf numFmtId="0" fontId="16" fillId="12" borderId="1" xfId="0" applyFont="1" applyFill="1" applyBorder="1" applyAlignment="1">
      <alignment horizontal="center" vertical="center"/>
    </xf>
    <xf numFmtId="164" fontId="16" fillId="12" borderId="16" xfId="1" applyFont="1" applyFill="1" applyBorder="1" applyAlignment="1">
      <alignment horizontal="center" vertical="center"/>
    </xf>
    <xf numFmtId="0" fontId="1" fillId="12" borderId="26" xfId="0" applyFont="1" applyFill="1" applyBorder="1" applyAlignment="1">
      <alignment horizontal="center" vertical="center"/>
    </xf>
    <xf numFmtId="0" fontId="1" fillId="12" borderId="27" xfId="0" applyFont="1" applyFill="1" applyBorder="1" applyAlignment="1">
      <alignment horizontal="center" vertical="center"/>
    </xf>
    <xf numFmtId="0" fontId="0" fillId="12" borderId="28" xfId="0" applyFill="1" applyBorder="1"/>
    <xf numFmtId="0" fontId="16" fillId="5" borderId="1" xfId="0" applyFont="1" applyFill="1" applyBorder="1" applyAlignment="1">
      <alignment horizontal="center" vertical="center"/>
    </xf>
    <xf numFmtId="0" fontId="16" fillId="12" borderId="1" xfId="0" applyFont="1" applyFill="1" applyBorder="1" applyAlignment="1">
      <alignment horizontal="left" vertical="center" wrapText="1" indent="2"/>
    </xf>
    <xf numFmtId="14" fontId="16" fillId="12" borderId="1" xfId="4" applyFont="1" applyFill="1" applyBorder="1">
      <alignment horizontal="center" vertical="center"/>
    </xf>
    <xf numFmtId="0" fontId="8" fillId="12" borderId="0" xfId="0" applyFont="1" applyFill="1" applyAlignment="1">
      <alignment horizontal="left" vertical="center" wrapText="1" indent="1"/>
    </xf>
    <xf numFmtId="0" fontId="1" fillId="12" borderId="0" xfId="0" applyFont="1" applyFill="1" applyAlignment="1">
      <alignment horizontal="center" vertical="center"/>
    </xf>
    <xf numFmtId="14" fontId="1" fillId="12" borderId="0" xfId="4" applyFont="1" applyFill="1" applyBorder="1">
      <alignment horizontal="center" vertical="center"/>
    </xf>
    <xf numFmtId="164" fontId="1" fillId="12" borderId="0" xfId="1" applyFont="1" applyFill="1" applyBorder="1" applyAlignment="1">
      <alignment horizontal="center" vertical="center"/>
    </xf>
    <xf numFmtId="0" fontId="1" fillId="14" borderId="26" xfId="0" applyFont="1" applyFill="1" applyBorder="1" applyAlignment="1">
      <alignment horizontal="center" vertical="center"/>
    </xf>
    <xf numFmtId="0" fontId="1" fillId="14" borderId="27" xfId="0" applyFont="1" applyFill="1" applyBorder="1" applyAlignment="1">
      <alignment horizontal="center" vertical="center"/>
    </xf>
    <xf numFmtId="0" fontId="0" fillId="14" borderId="28" xfId="0" applyFill="1" applyBorder="1"/>
    <xf numFmtId="0" fontId="16" fillId="12" borderId="1" xfId="0" applyFont="1" applyFill="1" applyBorder="1" applyAlignment="1" applyProtection="1">
      <alignment horizontal="center" vertical="center"/>
      <protection locked="0"/>
    </xf>
    <xf numFmtId="166" fontId="19" fillId="9" borderId="32" xfId="0" applyNumberFormat="1" applyFont="1" applyFill="1" applyBorder="1" applyAlignment="1">
      <alignment horizontal="center" vertical="center"/>
    </xf>
    <xf numFmtId="0" fontId="17" fillId="0" borderId="29" xfId="0" applyFont="1" applyBorder="1" applyAlignment="1">
      <alignment vertical="center"/>
    </xf>
    <xf numFmtId="0" fontId="17" fillId="0" borderId="30" xfId="0" applyFont="1" applyBorder="1" applyAlignment="1">
      <alignment vertical="center"/>
    </xf>
    <xf numFmtId="166" fontId="18" fillId="9" borderId="32" xfId="0" applyNumberFormat="1" applyFont="1" applyFill="1" applyBorder="1" applyAlignment="1">
      <alignment horizontal="center" vertical="center"/>
    </xf>
    <xf numFmtId="166" fontId="18" fillId="9" borderId="33" xfId="0" applyNumberFormat="1" applyFont="1" applyFill="1" applyBorder="1" applyAlignment="1">
      <alignment horizontal="center" vertical="center"/>
    </xf>
    <xf numFmtId="166" fontId="18" fillId="9" borderId="35" xfId="0" applyNumberFormat="1" applyFont="1" applyFill="1" applyBorder="1" applyAlignment="1">
      <alignment horizontal="center" vertical="center"/>
    </xf>
    <xf numFmtId="166" fontId="18" fillId="9" borderId="34" xfId="0" applyNumberFormat="1" applyFont="1" applyFill="1" applyBorder="1" applyAlignment="1">
      <alignment horizontal="center" vertical="center"/>
    </xf>
    <xf numFmtId="166" fontId="18" fillId="9" borderId="36" xfId="0" applyNumberFormat="1" applyFont="1" applyFill="1" applyBorder="1" applyAlignment="1">
      <alignment horizontal="center" vertical="center"/>
    </xf>
    <xf numFmtId="0" fontId="17" fillId="9" borderId="30" xfId="0" applyFont="1" applyFill="1" applyBorder="1" applyAlignment="1">
      <alignment vertical="center"/>
    </xf>
    <xf numFmtId="0" fontId="21" fillId="9" borderId="30" xfId="0" applyFont="1" applyFill="1" applyBorder="1" applyAlignment="1">
      <alignment vertical="center"/>
    </xf>
    <xf numFmtId="0" fontId="16" fillId="5" borderId="25" xfId="0" applyFont="1" applyFill="1" applyBorder="1" applyAlignment="1">
      <alignment horizontal="center" vertical="center"/>
    </xf>
    <xf numFmtId="0" fontId="16" fillId="12" borderId="31" xfId="0" applyFont="1" applyFill="1" applyBorder="1" applyAlignment="1">
      <alignment horizontal="left" vertical="center" wrapText="1" indent="2"/>
    </xf>
    <xf numFmtId="0" fontId="16" fillId="5" borderId="31" xfId="0" applyFont="1" applyFill="1" applyBorder="1" applyAlignment="1">
      <alignment horizontal="left" wrapText="1" indent="3"/>
    </xf>
    <xf numFmtId="0" fontId="1" fillId="12" borderId="37" xfId="0" applyFont="1" applyFill="1" applyBorder="1" applyAlignment="1">
      <alignment horizontal="center" vertical="center"/>
    </xf>
    <xf numFmtId="0" fontId="0" fillId="12" borderId="38" xfId="0" applyFill="1" applyBorder="1"/>
    <xf numFmtId="14" fontId="22" fillId="12" borderId="27" xfId="0" applyNumberFormat="1" applyFont="1" applyFill="1" applyBorder="1" applyAlignment="1">
      <alignment horizontal="center" vertical="center"/>
    </xf>
    <xf numFmtId="0" fontId="0" fillId="0" borderId="39" xfId="0" applyBorder="1"/>
    <xf numFmtId="0" fontId="0" fillId="0" borderId="40" xfId="0" applyBorder="1"/>
    <xf numFmtId="0" fontId="1" fillId="13" borderId="26" xfId="0" applyFont="1" applyFill="1" applyBorder="1" applyAlignment="1">
      <alignment horizontal="center" vertical="center"/>
    </xf>
    <xf numFmtId="0" fontId="23" fillId="4" borderId="6" xfId="0" applyFont="1" applyFill="1" applyBorder="1" applyAlignment="1">
      <alignment vertical="center" wrapText="1"/>
    </xf>
    <xf numFmtId="0" fontId="23" fillId="4" borderId="7" xfId="0" applyFont="1" applyFill="1" applyBorder="1" applyAlignment="1">
      <alignment vertical="center" wrapText="1"/>
    </xf>
    <xf numFmtId="0" fontId="23" fillId="5" borderId="1" xfId="0" applyFont="1" applyFill="1" applyBorder="1" applyAlignment="1">
      <alignment vertical="center" wrapText="1"/>
    </xf>
    <xf numFmtId="0" fontId="23" fillId="5" borderId="9" xfId="0" applyFont="1" applyFill="1" applyBorder="1" applyAlignment="1">
      <alignment vertical="center" wrapText="1"/>
    </xf>
    <xf numFmtId="0" fontId="23" fillId="4" borderId="1" xfId="0" applyFont="1" applyFill="1" applyBorder="1" applyAlignment="1">
      <alignment vertical="center" wrapText="1"/>
    </xf>
    <xf numFmtId="0" fontId="23" fillId="4" borderId="9" xfId="0" applyFont="1" applyFill="1" applyBorder="1" applyAlignment="1">
      <alignment vertical="center" wrapText="1"/>
    </xf>
    <xf numFmtId="0" fontId="23" fillId="5" borderId="11" xfId="0" applyFont="1" applyFill="1" applyBorder="1" applyAlignment="1">
      <alignment vertical="center" wrapText="1"/>
    </xf>
    <xf numFmtId="0" fontId="23" fillId="5" borderId="12" xfId="0" applyFont="1" applyFill="1" applyBorder="1" applyAlignment="1">
      <alignment vertical="center" wrapText="1"/>
    </xf>
    <xf numFmtId="0" fontId="0" fillId="13" borderId="28" xfId="0" applyFill="1" applyBorder="1"/>
    <xf numFmtId="0" fontId="23" fillId="4" borderId="23" xfId="0" applyFont="1" applyFill="1" applyBorder="1" applyAlignment="1">
      <alignment vertical="center" wrapText="1"/>
    </xf>
    <xf numFmtId="0" fontId="23" fillId="4" borderId="42" xfId="0" applyFont="1" applyFill="1" applyBorder="1" applyAlignment="1">
      <alignment vertical="center" wrapText="1"/>
    </xf>
    <xf numFmtId="0" fontId="9" fillId="6" borderId="0" xfId="2" applyFont="1" applyFill="1" applyAlignment="1">
      <alignment horizontal="left" vertical="center" indent="1"/>
    </xf>
    <xf numFmtId="0" fontId="10" fillId="6" borderId="0" xfId="2" applyFont="1" applyFill="1" applyAlignment="1">
      <alignment horizontal="left" vertical="center" indent="1"/>
    </xf>
    <xf numFmtId="0" fontId="11" fillId="6" borderId="0" xfId="0" applyFont="1" applyFill="1" applyAlignment="1">
      <alignment horizontal="center" vertical="center"/>
    </xf>
    <xf numFmtId="0" fontId="1" fillId="6" borderId="0" xfId="0" applyFont="1" applyFill="1" applyAlignment="1">
      <alignment horizontal="center" vertical="center"/>
    </xf>
    <xf numFmtId="0" fontId="0" fillId="6" borderId="0" xfId="0" applyFill="1" applyAlignment="1">
      <alignment horizontal="center" vertical="center"/>
    </xf>
    <xf numFmtId="0" fontId="2" fillId="2" borderId="0" xfId="0" applyFont="1" applyFill="1" applyAlignment="1">
      <alignment horizontal="center"/>
    </xf>
    <xf numFmtId="0" fontId="1" fillId="2" borderId="0" xfId="0" applyFont="1" applyFill="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0" fillId="0" borderId="0" xfId="0" applyAlignment="1">
      <alignment horizontal="center"/>
    </xf>
    <xf numFmtId="169" fontId="23" fillId="4" borderId="23" xfId="0" applyNumberFormat="1" applyFont="1" applyFill="1" applyBorder="1" applyAlignment="1">
      <alignment vertical="center" wrapText="1"/>
    </xf>
    <xf numFmtId="169" fontId="23" fillId="4" borderId="6" xfId="0" applyNumberFormat="1" applyFont="1" applyFill="1" applyBorder="1" applyAlignment="1">
      <alignment vertical="center" wrapText="1"/>
    </xf>
    <xf numFmtId="169" fontId="23" fillId="5" borderId="1" xfId="0" applyNumberFormat="1" applyFont="1" applyFill="1" applyBorder="1" applyAlignment="1">
      <alignment vertical="center" wrapText="1"/>
    </xf>
    <xf numFmtId="169" fontId="23" fillId="4" borderId="1" xfId="0" applyNumberFormat="1" applyFont="1" applyFill="1" applyBorder="1" applyAlignment="1">
      <alignment vertical="center" wrapText="1"/>
    </xf>
    <xf numFmtId="169" fontId="23" fillId="5" borderId="11" xfId="0" applyNumberFormat="1" applyFont="1" applyFill="1" applyBorder="1" applyAlignment="1">
      <alignment vertical="center" wrapText="1"/>
    </xf>
    <xf numFmtId="170" fontId="23" fillId="4" borderId="5" xfId="0" applyNumberFormat="1" applyFont="1" applyFill="1" applyBorder="1" applyAlignment="1">
      <alignment vertical="center" wrapText="1"/>
    </xf>
    <xf numFmtId="170" fontId="23" fillId="5" borderId="8" xfId="0" applyNumberFormat="1" applyFont="1" applyFill="1" applyBorder="1" applyAlignment="1">
      <alignment vertical="center" wrapText="1"/>
    </xf>
    <xf numFmtId="170" fontId="23" fillId="4" borderId="8" xfId="0" applyNumberFormat="1" applyFont="1" applyFill="1" applyBorder="1" applyAlignment="1">
      <alignment vertical="center" wrapText="1"/>
    </xf>
    <xf numFmtId="170" fontId="23" fillId="4" borderId="41" xfId="0" applyNumberFormat="1" applyFont="1" applyFill="1" applyBorder="1" applyAlignment="1">
      <alignment vertical="center" wrapText="1"/>
    </xf>
    <xf numFmtId="170" fontId="23" fillId="5" borderId="10" xfId="0" applyNumberFormat="1" applyFont="1" applyFill="1" applyBorder="1" applyAlignment="1">
      <alignment vertical="center" wrapText="1"/>
    </xf>
  </cellXfs>
  <cellStyles count="5">
    <cellStyle name="Comma [0]" xfId="1" builtinId="6"/>
    <cellStyle name="Date" xfId="4" xr:uid="{3F2A0142-7B4B-49DB-A1BE-302B68C0287A}"/>
    <cellStyle name="Heading 3" xfId="3" builtinId="18"/>
    <cellStyle name="Normal" xfId="0" builtinId="0"/>
    <cellStyle name="Title" xfId="2" builtinId="15"/>
  </cellStyles>
  <dxfs count="55">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color theme="0"/>
      </font>
      <fill>
        <patternFill>
          <bgColor theme="1" tint="0.34998626667073579"/>
        </patternFill>
      </fill>
      <border>
        <left/>
        <right/>
        <top style="thin">
          <color auto="1"/>
        </top>
        <bottom/>
      </border>
    </dxf>
    <dxf>
      <font>
        <color theme="0"/>
      </font>
      <fill>
        <patternFill>
          <bgColor theme="1" tint="0.34998626667073579"/>
        </patternFill>
      </fill>
      <border>
        <left/>
        <right/>
        <top style="thin">
          <color auto="1"/>
        </top>
        <bottom/>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ont>
        <b/>
        <i val="0"/>
        <color theme="0"/>
      </font>
      <border>
        <left style="thin">
          <color rgb="FFC00000"/>
        </left>
        <right style="thin">
          <color rgb="FFC00000"/>
        </right>
        <vertical/>
        <horizontal/>
      </border>
    </dxf>
    <dxf>
      <fill>
        <patternFill>
          <bgColor theme="7" tint="-0.24994659260841701"/>
        </patternFill>
      </fill>
      <border>
        <left/>
        <right/>
        <top/>
        <bottom/>
      </border>
    </dxf>
    <dxf>
      <fill>
        <patternFill>
          <bgColor theme="9"/>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6"/>
        </patternFill>
      </fill>
      <border>
        <left/>
        <right/>
        <top/>
        <bottom/>
      </border>
    </dxf>
    <dxf>
      <font>
        <color theme="0"/>
      </font>
      <fill>
        <patternFill>
          <bgColor theme="1" tint="0.34998626667073579"/>
        </patternFill>
      </fill>
      <border>
        <left/>
        <right/>
        <top style="thin">
          <color auto="1"/>
        </top>
        <bottom/>
      </border>
    </dxf>
    <dxf>
      <font>
        <color theme="0"/>
      </font>
      <fill>
        <patternFill>
          <bgColor theme="1" tint="0.34998626667073579"/>
        </patternFill>
      </fill>
      <border>
        <left/>
        <right/>
        <top style="thin">
          <color auto="1"/>
        </top>
        <bottom/>
      </border>
    </dxf>
    <dxf>
      <font>
        <color theme="0"/>
      </font>
      <fill>
        <patternFill>
          <bgColor theme="1" tint="0.499984740745262"/>
        </patternFill>
      </fill>
      <border>
        <left/>
        <right/>
        <top style="thin">
          <color auto="1"/>
        </top>
        <bottom/>
        <vertical/>
        <horizontal/>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theme="0"/>
      </font>
      <fill>
        <patternFill>
          <bgColor theme="1" tint="0.499984740745262"/>
        </patternFill>
      </fill>
      <border>
        <left/>
        <right/>
        <top style="thin">
          <color auto="1"/>
        </top>
        <bottom/>
        <vertical/>
        <horizontal/>
      </border>
    </dxf>
    <dxf>
      <font>
        <color theme="0"/>
      </font>
      <fill>
        <patternFill>
          <bgColor theme="1" tint="0.3499862666707357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ont>
        <strike val="0"/>
        <outline val="0"/>
        <shadow val="0"/>
        <u val="none"/>
        <vertAlign val="baseline"/>
        <sz val="11"/>
        <color auto="1"/>
        <name val="Calibri"/>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bottom" textRotation="0" wrapText="1" relativeIndent="1"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dxf>
    <dxf>
      <border>
        <bottom style="thin">
          <color indexed="64"/>
        </bottom>
      </border>
    </dxf>
    <dxf>
      <font>
        <b/>
        <strike val="0"/>
        <outline val="0"/>
        <shadow val="0"/>
        <u val="none"/>
        <vertAlign val="baseline"/>
        <sz val="12"/>
        <color auto="1"/>
        <name val="Calibri"/>
        <family val="2"/>
        <scheme val="minor"/>
      </font>
      <fill>
        <patternFill patternType="solid">
          <fgColor indexed="64"/>
          <bgColor theme="0" tint="-0.249977111117893"/>
        </patternFill>
      </fill>
      <border diagonalUp="0" diagonalDown="0" outline="0">
        <left style="thin">
          <color indexed="64"/>
        </left>
        <right style="thin">
          <color indexed="64"/>
        </right>
        <top/>
        <bottom/>
      </border>
    </dxf>
    <dxf>
      <font>
        <strike val="0"/>
        <outline val="0"/>
        <shadow val="0"/>
        <u val="none"/>
        <vertAlign val="baseline"/>
        <sz val="11"/>
        <color auto="1"/>
        <name val="Calibri"/>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bottom" textRotation="0" wrapText="1" relativeIndent="1"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dxf>
    <dxf>
      <border>
        <bottom style="thin">
          <color indexed="64"/>
        </bottom>
      </border>
    </dxf>
    <dxf>
      <font>
        <b/>
        <strike val="0"/>
        <outline val="0"/>
        <shadow val="0"/>
        <u val="none"/>
        <vertAlign val="baseline"/>
        <sz val="12"/>
        <color auto="1"/>
        <name val="Calibri"/>
        <family val="2"/>
        <scheme val="minor"/>
      </font>
      <fill>
        <patternFill patternType="solid">
          <fgColor indexed="64"/>
          <bgColor theme="0" tint="-0.249977111117893"/>
        </patternFill>
      </fill>
      <border diagonalUp="0" diagonalDown="0" outline="0">
        <left style="thin">
          <color indexed="64"/>
        </left>
        <right style="thin">
          <color indexed="64"/>
        </right>
        <top/>
        <bottom/>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1" defaultTableStyle="TableStyleMedium2" defaultPivotStyle="PivotStyleLight16">
    <tableStyle name="Gantt Table Style" pivot="0" count="4" xr9:uid="{824B2D3F-92BE-40D8-82C8-89EB990AE39D}">
      <tableStyleElement type="wholeTable" dxfId="54"/>
      <tableStyleElement type="headerRow" dxfId="53"/>
      <tableStyleElement type="firstRowStripe" dxfId="52"/>
      <tableStyleElement type="secondRowStripe" dxfId="5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8D8C0D-4C8D-4D59-9B5F-0DAF2A40054F}" name="Milestones435" displayName="Milestones435" ref="B6:E19" totalsRowShown="0" headerRowDxfId="50" dataDxfId="48" headerRowBorderDxfId="49" tableBorderDxfId="47" totalsRowBorderDxfId="46">
  <autoFilter ref="B6:E19" xr:uid="{3D8D8C0D-4C8D-4D59-9B5F-0DAF2A40054F}"/>
  <tableColumns count="4">
    <tableColumn id="1" xr3:uid="{37D53BE7-0A5B-4537-9625-ABD9975B7884}" name="Description" dataDxfId="45"/>
    <tableColumn id="2" xr3:uid="{88B3E2CD-3B88-4CB8-B5FF-D37BF214D966}" name="Category" dataDxfId="44"/>
    <tableColumn id="5" xr3:uid="{99EADA06-F926-42C9-A20F-EA13FD7632EB}" name="Start date " dataDxfId="43" dataCellStyle="Date"/>
    <tableColumn id="6" xr3:uid="{26C72D96-4873-471A-97BA-9A767A249B36}" name="Days" dataDxfId="42"/>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B849ED-943C-499E-BBFE-9090606700B9}" name="Milestones4354" displayName="Milestones4354" ref="B27:E40" totalsRowShown="0" headerRowDxfId="41" dataDxfId="39" headerRowBorderDxfId="40" tableBorderDxfId="38" totalsRowBorderDxfId="37">
  <autoFilter ref="B27:E40" xr:uid="{74B849ED-943C-499E-BBFE-9090606700B9}"/>
  <tableColumns count="4">
    <tableColumn id="1" xr3:uid="{8CBF6BF8-13FD-40FF-930A-BB6E4FAE5F44}" name="Description" dataDxfId="36"/>
    <tableColumn id="2" xr3:uid="{EF23D9EA-E65B-4117-B2A4-4E6D7C012978}" name="Category" dataDxfId="35"/>
    <tableColumn id="5" xr3:uid="{4B5D0DBF-7B02-4BEC-93F5-6BE19AF50448}" name="Start date" dataDxfId="34" dataCellStyle="Date"/>
    <tableColumn id="6" xr3:uid="{38A2D016-7628-448A-87DC-29613AA39247}" name="Days" dataDxfId="33"/>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B4FCD-BAAB-4571-9DD2-E94797849699}">
  <dimension ref="B1:G154"/>
  <sheetViews>
    <sheetView topLeftCell="A8" zoomScale="130" zoomScaleNormal="130" workbookViewId="0">
      <selection activeCell="G46" sqref="G46"/>
    </sheetView>
  </sheetViews>
  <sheetFormatPr baseColWidth="10" defaultRowHeight="15" x14ac:dyDescent="0.2"/>
  <cols>
    <col min="2" max="2" width="16.6640625" customWidth="1"/>
    <col min="3" max="3" width="11.1640625" bestFit="1" customWidth="1"/>
    <col min="4" max="6" width="16.6640625" customWidth="1"/>
    <col min="7" max="7" width="80.6640625" customWidth="1"/>
    <col min="13" max="17" width="16.6640625" customWidth="1"/>
    <col min="18" max="18" width="11.5" customWidth="1"/>
    <col min="24" max="28" width="16.6640625" customWidth="1"/>
    <col min="29" max="29" width="11.5" customWidth="1"/>
    <col min="35" max="39" width="16.6640625" customWidth="1"/>
    <col min="40" max="40" width="80.6640625" customWidth="1"/>
  </cols>
  <sheetData>
    <row r="1" spans="2:7" ht="63" thickBot="1" x14ac:dyDescent="0.75">
      <c r="B1" s="90" t="s">
        <v>22</v>
      </c>
      <c r="C1" s="91"/>
      <c r="D1" s="91"/>
      <c r="E1" s="91"/>
      <c r="F1" s="91"/>
      <c r="G1" s="91"/>
    </row>
    <row r="2" spans="2:7" ht="17" thickBot="1" x14ac:dyDescent="0.25">
      <c r="B2" s="92" t="s">
        <v>0</v>
      </c>
      <c r="C2" s="93"/>
      <c r="D2" s="93"/>
      <c r="E2" s="93"/>
      <c r="F2" s="93"/>
      <c r="G2" s="4" t="s">
        <v>27</v>
      </c>
    </row>
    <row r="3" spans="2:7" ht="16" thickBot="1" x14ac:dyDescent="0.25">
      <c r="B3" s="94"/>
      <c r="C3" s="94"/>
      <c r="D3" s="94"/>
      <c r="E3" s="94"/>
      <c r="F3" s="94"/>
      <c r="G3" s="94"/>
    </row>
    <row r="4" spans="2:7" ht="17" thickBot="1" x14ac:dyDescent="0.25">
      <c r="B4" s="1" t="s">
        <v>1</v>
      </c>
      <c r="C4" s="2" t="s">
        <v>23</v>
      </c>
      <c r="D4" s="2" t="s">
        <v>24</v>
      </c>
      <c r="E4" s="2" t="s">
        <v>25</v>
      </c>
      <c r="F4" s="2" t="s">
        <v>26</v>
      </c>
      <c r="G4" s="3" t="s">
        <v>2</v>
      </c>
    </row>
    <row r="5" spans="2:7" ht="16.5" customHeight="1" x14ac:dyDescent="0.2">
      <c r="B5" s="100">
        <v>46055</v>
      </c>
      <c r="C5" s="96">
        <f>IF(COUNT(E5),(E5-D5),"")</f>
        <v>0.13194444444444442</v>
      </c>
      <c r="D5" s="96">
        <v>0.55555555555555558</v>
      </c>
      <c r="E5" s="96">
        <v>0.6875</v>
      </c>
      <c r="F5" s="74" t="s">
        <v>35</v>
      </c>
      <c r="G5" s="75" t="s">
        <v>36</v>
      </c>
    </row>
    <row r="6" spans="2:7" ht="16.5" customHeight="1" x14ac:dyDescent="0.2">
      <c r="B6" s="101">
        <v>46056</v>
      </c>
      <c r="C6" s="97">
        <f>IF(COUNT(E6),(E6-D6),"")</f>
        <v>2.777777777777779E-2</v>
      </c>
      <c r="D6" s="97">
        <v>0.37847222222222221</v>
      </c>
      <c r="E6" s="97">
        <v>0.40625</v>
      </c>
      <c r="F6" s="76" t="s">
        <v>37</v>
      </c>
      <c r="G6" s="77" t="s">
        <v>38</v>
      </c>
    </row>
    <row r="7" spans="2:7" ht="16.5" customHeight="1" x14ac:dyDescent="0.2">
      <c r="B7" s="102">
        <v>46056</v>
      </c>
      <c r="C7" s="98">
        <f>IF(COUNT(E7),(E7-D7),"")</f>
        <v>2.3611111111111138E-2</v>
      </c>
      <c r="D7" s="98">
        <v>0.40625</v>
      </c>
      <c r="E7" s="98">
        <v>0.42986111111111114</v>
      </c>
      <c r="F7" s="78" t="s">
        <v>37</v>
      </c>
      <c r="G7" s="79" t="s">
        <v>39</v>
      </c>
    </row>
    <row r="8" spans="2:7" ht="16.5" customHeight="1" x14ac:dyDescent="0.2">
      <c r="B8" s="101">
        <v>46056</v>
      </c>
      <c r="C8" s="97">
        <f t="shared" ref="C8:C71" si="0">IF(COUNT(E8),(E8-D8),"")</f>
        <v>5.5555555555555358E-3</v>
      </c>
      <c r="D8" s="97">
        <v>0.42986111111111114</v>
      </c>
      <c r="E8" s="97">
        <v>0.43541666666666667</v>
      </c>
      <c r="F8" s="76" t="s">
        <v>35</v>
      </c>
      <c r="G8" s="77" t="s">
        <v>40</v>
      </c>
    </row>
    <row r="9" spans="2:7" ht="16.5" customHeight="1" x14ac:dyDescent="0.2">
      <c r="B9" s="102">
        <v>46056</v>
      </c>
      <c r="C9" s="98">
        <f t="shared" si="0"/>
        <v>1.5972222222222221E-2</v>
      </c>
      <c r="D9" s="98">
        <v>0.43541666666666667</v>
      </c>
      <c r="E9" s="98">
        <v>0.4513888888888889</v>
      </c>
      <c r="F9" s="78" t="s">
        <v>37</v>
      </c>
      <c r="G9" s="79" t="s">
        <v>41</v>
      </c>
    </row>
    <row r="10" spans="2:7" ht="16.5" customHeight="1" x14ac:dyDescent="0.2">
      <c r="B10" s="101">
        <v>46056</v>
      </c>
      <c r="C10" s="97">
        <f>IF(COUNT(E10),(E10-D10),"")</f>
        <v>2.0833333333333259E-2</v>
      </c>
      <c r="D10" s="97">
        <v>0.55555555555555558</v>
      </c>
      <c r="E10" s="97">
        <v>0.57638888888888884</v>
      </c>
      <c r="F10" s="76" t="s">
        <v>37</v>
      </c>
      <c r="G10" s="77" t="s">
        <v>42</v>
      </c>
    </row>
    <row r="11" spans="2:7" ht="16.5" customHeight="1" x14ac:dyDescent="0.2">
      <c r="B11" s="102">
        <v>46056</v>
      </c>
      <c r="C11" s="98">
        <f>IF(COUNT(E11),(E11-D11),"")</f>
        <v>6.9444444444445308E-3</v>
      </c>
      <c r="D11" s="98">
        <v>0.57638888888888884</v>
      </c>
      <c r="E11" s="98">
        <v>0.58333333333333337</v>
      </c>
      <c r="F11" s="78" t="s">
        <v>35</v>
      </c>
      <c r="G11" s="79" t="s">
        <v>43</v>
      </c>
    </row>
    <row r="12" spans="2:7" ht="32" x14ac:dyDescent="0.2">
      <c r="B12" s="101">
        <v>46056</v>
      </c>
      <c r="C12" s="97">
        <f t="shared" si="0"/>
        <v>2.777777777777779E-2</v>
      </c>
      <c r="D12" s="97">
        <v>0.58333333333333337</v>
      </c>
      <c r="E12" s="97">
        <v>0.61111111111111116</v>
      </c>
      <c r="F12" s="76" t="s">
        <v>37</v>
      </c>
      <c r="G12" s="77" t="s">
        <v>44</v>
      </c>
    </row>
    <row r="13" spans="2:7" ht="16.5" customHeight="1" x14ac:dyDescent="0.2">
      <c r="B13" s="102">
        <v>46056</v>
      </c>
      <c r="C13" s="98">
        <f>IF(COUNT(E13),(E13-D13),"")</f>
        <v>3.472222222222221E-2</v>
      </c>
      <c r="D13" s="98">
        <v>0.61111111111111116</v>
      </c>
      <c r="E13" s="98">
        <v>0.64583333333333337</v>
      </c>
      <c r="F13" s="78" t="s">
        <v>37</v>
      </c>
      <c r="G13" s="79" t="s">
        <v>45</v>
      </c>
    </row>
    <row r="14" spans="2:7" ht="16.5" customHeight="1" x14ac:dyDescent="0.2">
      <c r="B14" s="101">
        <v>46056</v>
      </c>
      <c r="C14" s="97">
        <f t="shared" si="0"/>
        <v>6.9444444444444198E-3</v>
      </c>
      <c r="D14" s="97">
        <v>0.64583333333333337</v>
      </c>
      <c r="E14" s="97">
        <v>0.65277777777777779</v>
      </c>
      <c r="F14" s="76" t="s">
        <v>35</v>
      </c>
      <c r="G14" s="77" t="s">
        <v>40</v>
      </c>
    </row>
    <row r="15" spans="2:7" ht="16.5" customHeight="1" x14ac:dyDescent="0.2">
      <c r="B15" s="102">
        <v>46056</v>
      </c>
      <c r="C15" s="98">
        <f t="shared" si="0"/>
        <v>1.8055555555555491E-2</v>
      </c>
      <c r="D15" s="98">
        <v>0.65277777777777779</v>
      </c>
      <c r="E15" s="98">
        <v>0.67083333333333328</v>
      </c>
      <c r="F15" s="78" t="s">
        <v>37</v>
      </c>
      <c r="G15" s="79" t="s">
        <v>46</v>
      </c>
    </row>
    <row r="16" spans="2:7" ht="16.5" customHeight="1" x14ac:dyDescent="0.2">
      <c r="B16" s="101">
        <v>46056</v>
      </c>
      <c r="C16" s="97">
        <f t="shared" si="0"/>
        <v>2.0138888888888928E-2</v>
      </c>
      <c r="D16" s="97">
        <v>0.67083333333333328</v>
      </c>
      <c r="E16" s="97">
        <v>0.69097222222222221</v>
      </c>
      <c r="F16" s="76" t="s">
        <v>35</v>
      </c>
      <c r="G16" s="77" t="s">
        <v>47</v>
      </c>
    </row>
    <row r="17" spans="2:7" ht="16.5" customHeight="1" x14ac:dyDescent="0.2">
      <c r="B17" s="102">
        <v>46057</v>
      </c>
      <c r="C17" s="98">
        <f t="shared" si="0"/>
        <v>3.125E-2</v>
      </c>
      <c r="D17" s="98">
        <v>0.62847222222222221</v>
      </c>
      <c r="E17" s="98">
        <v>0.65972222222222221</v>
      </c>
      <c r="F17" s="78" t="s">
        <v>48</v>
      </c>
      <c r="G17" s="79" t="s">
        <v>49</v>
      </c>
    </row>
    <row r="18" spans="2:7" ht="16.5" customHeight="1" x14ac:dyDescent="0.2">
      <c r="B18" s="101">
        <v>46057</v>
      </c>
      <c r="C18" s="97">
        <f t="shared" si="0"/>
        <v>3.472222222222221E-2</v>
      </c>
      <c r="D18" s="97">
        <v>0.65972222222222221</v>
      </c>
      <c r="E18" s="97">
        <v>0.69444444444444442</v>
      </c>
      <c r="F18" s="76" t="s">
        <v>35</v>
      </c>
      <c r="G18" s="77" t="s">
        <v>50</v>
      </c>
    </row>
    <row r="19" spans="2:7" ht="16.5" customHeight="1" x14ac:dyDescent="0.2">
      <c r="B19" s="102">
        <v>46062</v>
      </c>
      <c r="C19" s="98">
        <f t="shared" si="0"/>
        <v>6.7361111111111094E-2</v>
      </c>
      <c r="D19" s="98">
        <v>0.55555555555555558</v>
      </c>
      <c r="E19" s="98">
        <v>0.62291666666666667</v>
      </c>
      <c r="F19" s="78" t="s">
        <v>21</v>
      </c>
      <c r="G19" s="79" t="s">
        <v>51</v>
      </c>
    </row>
    <row r="20" spans="2:7" ht="16.5" customHeight="1" x14ac:dyDescent="0.2">
      <c r="B20" s="101">
        <v>46062</v>
      </c>
      <c r="C20" s="97">
        <f t="shared" si="0"/>
        <v>6.597222222222221E-2</v>
      </c>
      <c r="D20" s="97">
        <v>0.62847222222222221</v>
      </c>
      <c r="E20" s="97">
        <v>0.69444444444444442</v>
      </c>
      <c r="F20" s="76" t="s">
        <v>52</v>
      </c>
      <c r="G20" s="77" t="s">
        <v>53</v>
      </c>
    </row>
    <row r="21" spans="2:7" ht="16.5" customHeight="1" x14ac:dyDescent="0.2">
      <c r="B21" s="102">
        <v>46063</v>
      </c>
      <c r="C21" s="98">
        <f t="shared" si="0"/>
        <v>3.9583333333333359E-2</v>
      </c>
      <c r="D21" s="98">
        <v>0.33333333333333331</v>
      </c>
      <c r="E21" s="98">
        <v>0.37291666666666667</v>
      </c>
      <c r="F21" s="78" t="s">
        <v>35</v>
      </c>
      <c r="G21" s="79" t="s">
        <v>55</v>
      </c>
    </row>
    <row r="22" spans="2:7" ht="16.5" customHeight="1" x14ac:dyDescent="0.2">
      <c r="B22" s="101">
        <v>46063</v>
      </c>
      <c r="C22" s="97">
        <f t="shared" si="0"/>
        <v>1.5972222222222221E-2</v>
      </c>
      <c r="D22" s="97">
        <v>0.37291666666666667</v>
      </c>
      <c r="E22" s="97">
        <v>0.3888888888888889</v>
      </c>
      <c r="F22" s="76" t="s">
        <v>21</v>
      </c>
      <c r="G22" s="77" t="s">
        <v>56</v>
      </c>
    </row>
    <row r="23" spans="2:7" ht="16.5" customHeight="1" x14ac:dyDescent="0.2">
      <c r="B23" s="102">
        <v>46063</v>
      </c>
      <c r="C23" s="98">
        <f t="shared" si="0"/>
        <v>3.819444444444442E-2</v>
      </c>
      <c r="D23" s="98">
        <v>0.3888888888888889</v>
      </c>
      <c r="E23" s="98">
        <v>0.42708333333333331</v>
      </c>
      <c r="F23" s="78" t="s">
        <v>35</v>
      </c>
      <c r="G23" s="79" t="s">
        <v>54</v>
      </c>
    </row>
    <row r="24" spans="2:7" ht="16.5" customHeight="1" x14ac:dyDescent="0.2">
      <c r="B24" s="101">
        <v>46063</v>
      </c>
      <c r="C24" s="97">
        <f t="shared" si="0"/>
        <v>3.125E-2</v>
      </c>
      <c r="D24" s="97">
        <v>0.55555555555555558</v>
      </c>
      <c r="E24" s="97">
        <v>0.58680555555555558</v>
      </c>
      <c r="F24" s="76" t="s">
        <v>35</v>
      </c>
      <c r="G24" s="77" t="s">
        <v>57</v>
      </c>
    </row>
    <row r="25" spans="2:7" ht="16.5" customHeight="1" x14ac:dyDescent="0.2">
      <c r="B25" s="102">
        <v>46063</v>
      </c>
      <c r="C25" s="98">
        <f t="shared" si="0"/>
        <v>6.944444444444442E-2</v>
      </c>
      <c r="D25" s="98">
        <v>0.59722222222222221</v>
      </c>
      <c r="E25" s="98">
        <v>0.66666666666666663</v>
      </c>
      <c r="F25" s="78" t="s">
        <v>52</v>
      </c>
      <c r="G25" s="79" t="s">
        <v>59</v>
      </c>
    </row>
    <row r="26" spans="2:7" ht="16.5" customHeight="1" x14ac:dyDescent="0.2">
      <c r="B26" s="101">
        <v>46063</v>
      </c>
      <c r="C26" s="97">
        <f t="shared" si="0"/>
        <v>2.777777777777779E-2</v>
      </c>
      <c r="D26" s="97">
        <v>0.66666666666666663</v>
      </c>
      <c r="E26" s="97">
        <v>0.69444444444444442</v>
      </c>
      <c r="F26" s="76" t="s">
        <v>35</v>
      </c>
      <c r="G26" s="77" t="s">
        <v>57</v>
      </c>
    </row>
    <row r="27" spans="2:7" ht="16.5" customHeight="1" x14ac:dyDescent="0.2">
      <c r="B27" s="102">
        <v>46064</v>
      </c>
      <c r="C27" s="98">
        <f t="shared" si="0"/>
        <v>6.597222222222221E-2</v>
      </c>
      <c r="D27" s="98">
        <v>0.62847222222222221</v>
      </c>
      <c r="E27" s="98">
        <v>0.69444444444444442</v>
      </c>
      <c r="F27" s="78" t="s">
        <v>35</v>
      </c>
      <c r="G27" s="79" t="s">
        <v>57</v>
      </c>
    </row>
    <row r="28" spans="2:7" ht="16.5" customHeight="1" x14ac:dyDescent="0.2">
      <c r="B28" s="101">
        <v>46076</v>
      </c>
      <c r="C28" s="97">
        <f t="shared" si="0"/>
        <v>1.2500000000000011E-2</v>
      </c>
      <c r="D28" s="97">
        <v>0.44236111111111109</v>
      </c>
      <c r="E28" s="97">
        <v>0.4548611111111111</v>
      </c>
      <c r="F28" s="76" t="s">
        <v>48</v>
      </c>
      <c r="G28" s="77" t="s">
        <v>60</v>
      </c>
    </row>
    <row r="29" spans="2:7" ht="16.5" customHeight="1" x14ac:dyDescent="0.2">
      <c r="B29" s="102">
        <v>46076</v>
      </c>
      <c r="C29" s="98">
        <f t="shared" si="0"/>
        <v>6.597222222222221E-2</v>
      </c>
      <c r="D29" s="98">
        <v>0.55555555555555558</v>
      </c>
      <c r="E29" s="98">
        <v>0.62152777777777779</v>
      </c>
      <c r="F29" s="78" t="s">
        <v>37</v>
      </c>
      <c r="G29" s="79" t="s">
        <v>61</v>
      </c>
    </row>
    <row r="30" spans="2:7" ht="16.5" customHeight="1" x14ac:dyDescent="0.2">
      <c r="B30" s="101">
        <v>46076</v>
      </c>
      <c r="C30" s="97">
        <f t="shared" si="0"/>
        <v>6.597222222222221E-2</v>
      </c>
      <c r="D30" s="97">
        <v>0.62847222222222221</v>
      </c>
      <c r="E30" s="97">
        <v>0.69444444444444442</v>
      </c>
      <c r="F30" s="76" t="s">
        <v>35</v>
      </c>
      <c r="G30" s="77" t="s">
        <v>62</v>
      </c>
    </row>
    <row r="31" spans="2:7" ht="16.5" customHeight="1" x14ac:dyDescent="0.2">
      <c r="B31" s="102">
        <v>46077</v>
      </c>
      <c r="C31" s="98">
        <f t="shared" si="0"/>
        <v>6.597222222222221E-2</v>
      </c>
      <c r="D31" s="98">
        <v>0.62847222222222221</v>
      </c>
      <c r="E31" s="98">
        <v>0.69444444444444442</v>
      </c>
      <c r="F31" s="78" t="s">
        <v>35</v>
      </c>
      <c r="G31" s="79" t="s">
        <v>65</v>
      </c>
    </row>
    <row r="32" spans="2:7" ht="16.5" customHeight="1" x14ac:dyDescent="0.2">
      <c r="B32" s="101">
        <v>46084</v>
      </c>
      <c r="C32" s="97">
        <f t="shared" si="0"/>
        <v>0.14583333333333337</v>
      </c>
      <c r="D32" s="97">
        <v>0.375</v>
      </c>
      <c r="E32" s="97">
        <v>0.52083333333333337</v>
      </c>
      <c r="F32" s="76" t="s">
        <v>21</v>
      </c>
      <c r="G32" s="77" t="s">
        <v>63</v>
      </c>
    </row>
    <row r="33" spans="2:7" ht="16.5" customHeight="1" x14ac:dyDescent="0.2">
      <c r="B33" s="102">
        <v>46084</v>
      </c>
      <c r="C33" s="98">
        <f t="shared" si="0"/>
        <v>2.777777777777779E-2</v>
      </c>
      <c r="D33" s="98">
        <v>0.55555555555555558</v>
      </c>
      <c r="E33" s="98">
        <v>0.58333333333333337</v>
      </c>
      <c r="F33" s="78" t="s">
        <v>21</v>
      </c>
      <c r="G33" s="79" t="s">
        <v>64</v>
      </c>
    </row>
    <row r="34" spans="2:7" ht="17.25" customHeight="1" x14ac:dyDescent="0.2">
      <c r="B34" s="101">
        <v>46084</v>
      </c>
      <c r="C34" s="97">
        <f t="shared" si="0"/>
        <v>0.11111111111111105</v>
      </c>
      <c r="D34" s="97">
        <v>0.58333333333333337</v>
      </c>
      <c r="E34" s="97">
        <v>0.69444444444444442</v>
      </c>
      <c r="F34" s="76" t="s">
        <v>35</v>
      </c>
      <c r="G34" s="77" t="s">
        <v>66</v>
      </c>
    </row>
    <row r="35" spans="2:7" ht="16" x14ac:dyDescent="0.2">
      <c r="B35" s="103">
        <v>46085</v>
      </c>
      <c r="C35" s="95">
        <f t="shared" si="0"/>
        <v>3.819444444444442E-2</v>
      </c>
      <c r="D35" s="95">
        <v>0.65625</v>
      </c>
      <c r="E35" s="95">
        <v>0.69444444444444442</v>
      </c>
      <c r="F35" s="83" t="s">
        <v>35</v>
      </c>
      <c r="G35" s="84" t="s">
        <v>67</v>
      </c>
    </row>
    <row r="36" spans="2:7" ht="16" x14ac:dyDescent="0.2">
      <c r="B36" s="101">
        <v>46085</v>
      </c>
      <c r="C36" s="97">
        <f t="shared" si="0"/>
        <v>3.472222222222221E-2</v>
      </c>
      <c r="D36" s="97">
        <v>0.65972222222222221</v>
      </c>
      <c r="E36" s="97">
        <v>0.69444444444444442</v>
      </c>
      <c r="F36" s="76" t="s">
        <v>35</v>
      </c>
      <c r="G36" s="77" t="s">
        <v>68</v>
      </c>
    </row>
    <row r="37" spans="2:7" ht="16" x14ac:dyDescent="0.2">
      <c r="B37" s="102">
        <v>46090</v>
      </c>
      <c r="C37" s="98">
        <f t="shared" si="0"/>
        <v>3.125E-2</v>
      </c>
      <c r="D37" s="98">
        <v>0.55555555555555558</v>
      </c>
      <c r="E37" s="98">
        <v>0.58680555555555558</v>
      </c>
      <c r="F37" s="78" t="s">
        <v>35</v>
      </c>
      <c r="G37" s="79" t="s">
        <v>69</v>
      </c>
    </row>
    <row r="38" spans="2:7" ht="16" x14ac:dyDescent="0.2">
      <c r="B38" s="101">
        <v>46090</v>
      </c>
      <c r="C38" s="97">
        <f t="shared" si="0"/>
        <v>4.8611111111111049E-2</v>
      </c>
      <c r="D38" s="97">
        <v>0.58680555555555558</v>
      </c>
      <c r="E38" s="97">
        <v>0.63541666666666663</v>
      </c>
      <c r="F38" s="76" t="s">
        <v>35</v>
      </c>
      <c r="G38" s="77" t="s">
        <v>70</v>
      </c>
    </row>
    <row r="39" spans="2:7" ht="16" x14ac:dyDescent="0.2">
      <c r="B39" s="102">
        <v>46090</v>
      </c>
      <c r="C39" s="98">
        <f t="shared" si="0"/>
        <v>3.8194444444444531E-2</v>
      </c>
      <c r="D39" s="98">
        <v>0.63541666666666663</v>
      </c>
      <c r="E39" s="98">
        <v>0.67361111111111116</v>
      </c>
      <c r="F39" s="78" t="s">
        <v>21</v>
      </c>
      <c r="G39" s="79" t="s">
        <v>71</v>
      </c>
    </row>
    <row r="40" spans="2:7" ht="16" x14ac:dyDescent="0.2">
      <c r="B40" s="101">
        <v>46090</v>
      </c>
      <c r="C40" s="97">
        <f t="shared" si="0"/>
        <v>2.0833333333333259E-2</v>
      </c>
      <c r="D40" s="97">
        <v>0.67361111111111116</v>
      </c>
      <c r="E40" s="97">
        <v>0.69444444444444442</v>
      </c>
      <c r="F40" s="76" t="s">
        <v>35</v>
      </c>
      <c r="G40" s="77" t="s">
        <v>72</v>
      </c>
    </row>
    <row r="41" spans="2:7" ht="16" x14ac:dyDescent="0.2">
      <c r="B41" s="103">
        <v>46091</v>
      </c>
      <c r="C41" s="98">
        <f t="shared" si="0"/>
        <v>4.8611111111111105E-2</v>
      </c>
      <c r="D41" s="95">
        <v>0.375</v>
      </c>
      <c r="E41" s="95">
        <v>0.4236111111111111</v>
      </c>
      <c r="F41" s="83" t="s">
        <v>35</v>
      </c>
      <c r="G41" s="84" t="s">
        <v>70</v>
      </c>
    </row>
    <row r="42" spans="2:7" ht="16" x14ac:dyDescent="0.2">
      <c r="B42" s="101">
        <v>46091</v>
      </c>
      <c r="C42" s="97">
        <f t="shared" si="0"/>
        <v>2.777777777777779E-2</v>
      </c>
      <c r="D42" s="97">
        <v>0.4236111111111111</v>
      </c>
      <c r="E42" s="97">
        <v>0.4513888888888889</v>
      </c>
      <c r="F42" s="76" t="s">
        <v>21</v>
      </c>
      <c r="G42" s="77" t="s">
        <v>73</v>
      </c>
    </row>
    <row r="43" spans="2:7" ht="16" x14ac:dyDescent="0.2">
      <c r="B43" s="103">
        <v>46091</v>
      </c>
      <c r="C43" s="98">
        <f t="shared" si="0"/>
        <v>2.777777777777779E-2</v>
      </c>
      <c r="D43" s="98">
        <v>0.55555555555555558</v>
      </c>
      <c r="E43" s="98">
        <v>0.58333333333333337</v>
      </c>
      <c r="F43" s="78" t="s">
        <v>21</v>
      </c>
      <c r="G43" s="79" t="s">
        <v>74</v>
      </c>
    </row>
    <row r="44" spans="2:7" ht="16" x14ac:dyDescent="0.2">
      <c r="B44" s="101">
        <v>46091</v>
      </c>
      <c r="C44" s="97">
        <f t="shared" si="0"/>
        <v>0.11111111111111105</v>
      </c>
      <c r="D44" s="97">
        <v>0.58333333333333337</v>
      </c>
      <c r="E44" s="97">
        <v>0.69444444444444442</v>
      </c>
      <c r="F44" s="76" t="s">
        <v>35</v>
      </c>
      <c r="G44" s="77" t="s">
        <v>67</v>
      </c>
    </row>
    <row r="45" spans="2:7" ht="16" x14ac:dyDescent="0.2">
      <c r="B45" s="102">
        <v>46092</v>
      </c>
      <c r="C45" s="98">
        <f t="shared" si="0"/>
        <v>3.819444444444442E-2</v>
      </c>
      <c r="D45" s="98">
        <v>0.58333333333333337</v>
      </c>
      <c r="E45" s="98">
        <v>0.62152777777777779</v>
      </c>
      <c r="F45" s="78" t="s">
        <v>48</v>
      </c>
      <c r="G45" s="79" t="s">
        <v>75</v>
      </c>
    </row>
    <row r="46" spans="2:7" ht="16" x14ac:dyDescent="0.2">
      <c r="B46" s="101">
        <v>46092</v>
      </c>
      <c r="C46" s="97">
        <f t="shared" si="0"/>
        <v>6.597222222222221E-2</v>
      </c>
      <c r="D46" s="97">
        <v>0.62847222222222221</v>
      </c>
      <c r="E46" s="97">
        <v>0.69444444444444442</v>
      </c>
      <c r="F46" s="76" t="s">
        <v>21</v>
      </c>
      <c r="G46" s="77" t="s">
        <v>76</v>
      </c>
    </row>
    <row r="47" spans="2:7" ht="16" x14ac:dyDescent="0.2">
      <c r="B47" s="103"/>
      <c r="C47" s="98" t="str">
        <f t="shared" si="0"/>
        <v/>
      </c>
      <c r="D47" s="95"/>
      <c r="E47" s="95"/>
      <c r="F47" s="83"/>
      <c r="G47" s="84"/>
    </row>
    <row r="48" spans="2:7" ht="16" x14ac:dyDescent="0.2">
      <c r="B48" s="101"/>
      <c r="C48" s="97" t="str">
        <f t="shared" si="0"/>
        <v/>
      </c>
      <c r="D48" s="97"/>
      <c r="E48" s="97"/>
      <c r="F48" s="76"/>
      <c r="G48" s="77"/>
    </row>
    <row r="49" spans="2:7" ht="16" x14ac:dyDescent="0.2">
      <c r="B49" s="102"/>
      <c r="C49" s="98" t="str">
        <f t="shared" si="0"/>
        <v/>
      </c>
      <c r="D49" s="98"/>
      <c r="E49" s="98"/>
      <c r="F49" s="78"/>
      <c r="G49" s="79"/>
    </row>
    <row r="50" spans="2:7" ht="16" x14ac:dyDescent="0.2">
      <c r="B50" s="101"/>
      <c r="C50" s="97" t="str">
        <f t="shared" si="0"/>
        <v/>
      </c>
      <c r="D50" s="97"/>
      <c r="E50" s="97"/>
      <c r="F50" s="76"/>
      <c r="G50" s="77"/>
    </row>
    <row r="51" spans="2:7" ht="16" x14ac:dyDescent="0.2">
      <c r="B51" s="102"/>
      <c r="C51" s="98" t="str">
        <f t="shared" si="0"/>
        <v/>
      </c>
      <c r="D51" s="98"/>
      <c r="E51" s="98"/>
      <c r="F51" s="78"/>
      <c r="G51" s="79"/>
    </row>
    <row r="52" spans="2:7" ht="16" x14ac:dyDescent="0.2">
      <c r="B52" s="101"/>
      <c r="C52" s="97" t="str">
        <f t="shared" si="0"/>
        <v/>
      </c>
      <c r="D52" s="97"/>
      <c r="E52" s="97"/>
      <c r="F52" s="76"/>
      <c r="G52" s="77"/>
    </row>
    <row r="53" spans="2:7" ht="16" x14ac:dyDescent="0.2">
      <c r="B53" s="103"/>
      <c r="C53" s="98" t="str">
        <f t="shared" si="0"/>
        <v/>
      </c>
      <c r="D53" s="95"/>
      <c r="E53" s="95"/>
      <c r="F53" s="83"/>
      <c r="G53" s="84"/>
    </row>
    <row r="54" spans="2:7" ht="16" x14ac:dyDescent="0.2">
      <c r="B54" s="101"/>
      <c r="C54" s="97" t="str">
        <f t="shared" si="0"/>
        <v/>
      </c>
      <c r="D54" s="97"/>
      <c r="E54" s="97"/>
      <c r="F54" s="76"/>
      <c r="G54" s="77"/>
    </row>
    <row r="55" spans="2:7" ht="16" x14ac:dyDescent="0.2">
      <c r="B55" s="102"/>
      <c r="C55" s="98" t="str">
        <f t="shared" si="0"/>
        <v/>
      </c>
      <c r="D55" s="98"/>
      <c r="E55" s="98"/>
      <c r="F55" s="78"/>
      <c r="G55" s="79"/>
    </row>
    <row r="56" spans="2:7" ht="16" x14ac:dyDescent="0.2">
      <c r="B56" s="101"/>
      <c r="C56" s="97" t="str">
        <f t="shared" si="0"/>
        <v/>
      </c>
      <c r="D56" s="97"/>
      <c r="E56" s="97"/>
      <c r="F56" s="76"/>
      <c r="G56" s="77"/>
    </row>
    <row r="57" spans="2:7" ht="16" x14ac:dyDescent="0.2">
      <c r="B57" s="102"/>
      <c r="C57" s="98" t="str">
        <f t="shared" si="0"/>
        <v/>
      </c>
      <c r="D57" s="98"/>
      <c r="E57" s="98"/>
      <c r="F57" s="78"/>
      <c r="G57" s="79"/>
    </row>
    <row r="58" spans="2:7" ht="16" x14ac:dyDescent="0.2">
      <c r="B58" s="101"/>
      <c r="C58" s="97" t="str">
        <f t="shared" si="0"/>
        <v/>
      </c>
      <c r="D58" s="97"/>
      <c r="E58" s="97"/>
      <c r="F58" s="76"/>
      <c r="G58" s="77"/>
    </row>
    <row r="59" spans="2:7" ht="16" x14ac:dyDescent="0.2">
      <c r="B59" s="103"/>
      <c r="C59" s="98" t="str">
        <f t="shared" si="0"/>
        <v/>
      </c>
      <c r="D59" s="95"/>
      <c r="E59" s="95"/>
      <c r="F59" s="83"/>
      <c r="G59" s="84"/>
    </row>
    <row r="60" spans="2:7" ht="16" x14ac:dyDescent="0.2">
      <c r="B60" s="101"/>
      <c r="C60" s="97" t="str">
        <f t="shared" si="0"/>
        <v/>
      </c>
      <c r="D60" s="97"/>
      <c r="E60" s="97"/>
      <c r="F60" s="76"/>
      <c r="G60" s="77"/>
    </row>
    <row r="61" spans="2:7" ht="16" x14ac:dyDescent="0.2">
      <c r="B61" s="102"/>
      <c r="C61" s="98" t="str">
        <f t="shared" si="0"/>
        <v/>
      </c>
      <c r="D61" s="98"/>
      <c r="E61" s="98"/>
      <c r="F61" s="78"/>
      <c r="G61" s="79"/>
    </row>
    <row r="62" spans="2:7" ht="16" x14ac:dyDescent="0.2">
      <c r="B62" s="101"/>
      <c r="C62" s="97" t="str">
        <f t="shared" si="0"/>
        <v/>
      </c>
      <c r="D62" s="97"/>
      <c r="E62" s="97"/>
      <c r="F62" s="76"/>
      <c r="G62" s="77"/>
    </row>
    <row r="63" spans="2:7" ht="16" x14ac:dyDescent="0.2">
      <c r="B63" s="102"/>
      <c r="C63" s="98" t="str">
        <f t="shared" si="0"/>
        <v/>
      </c>
      <c r="D63" s="98"/>
      <c r="E63" s="98"/>
      <c r="F63" s="78"/>
      <c r="G63" s="79"/>
    </row>
    <row r="64" spans="2:7" ht="16" x14ac:dyDescent="0.2">
      <c r="B64" s="101"/>
      <c r="C64" s="97" t="str">
        <f t="shared" si="0"/>
        <v/>
      </c>
      <c r="D64" s="97"/>
      <c r="E64" s="97"/>
      <c r="F64" s="76"/>
      <c r="G64" s="77"/>
    </row>
    <row r="65" spans="2:7" ht="16" x14ac:dyDescent="0.2">
      <c r="B65" s="103"/>
      <c r="C65" s="98" t="str">
        <f t="shared" si="0"/>
        <v/>
      </c>
      <c r="D65" s="95"/>
      <c r="E65" s="95"/>
      <c r="F65" s="83"/>
      <c r="G65" s="84"/>
    </row>
    <row r="66" spans="2:7" ht="16" x14ac:dyDescent="0.2">
      <c r="B66" s="101"/>
      <c r="C66" s="97" t="str">
        <f t="shared" si="0"/>
        <v/>
      </c>
      <c r="D66" s="97"/>
      <c r="E66" s="97"/>
      <c r="F66" s="76"/>
      <c r="G66" s="77"/>
    </row>
    <row r="67" spans="2:7" ht="16" x14ac:dyDescent="0.2">
      <c r="B67" s="102"/>
      <c r="C67" s="98" t="str">
        <f t="shared" si="0"/>
        <v/>
      </c>
      <c r="D67" s="98"/>
      <c r="E67" s="98"/>
      <c r="F67" s="78"/>
      <c r="G67" s="79"/>
    </row>
    <row r="68" spans="2:7" ht="16" x14ac:dyDescent="0.2">
      <c r="B68" s="101"/>
      <c r="C68" s="97" t="str">
        <f t="shared" si="0"/>
        <v/>
      </c>
      <c r="D68" s="97"/>
      <c r="E68" s="97"/>
      <c r="F68" s="76"/>
      <c r="G68" s="77"/>
    </row>
    <row r="69" spans="2:7" ht="16" x14ac:dyDescent="0.2">
      <c r="B69" s="102"/>
      <c r="C69" s="98" t="str">
        <f t="shared" si="0"/>
        <v/>
      </c>
      <c r="D69" s="98"/>
      <c r="E69" s="98"/>
      <c r="F69" s="78"/>
      <c r="G69" s="79"/>
    </row>
    <row r="70" spans="2:7" ht="16" x14ac:dyDescent="0.2">
      <c r="B70" s="101"/>
      <c r="C70" s="97" t="str">
        <f t="shared" si="0"/>
        <v/>
      </c>
      <c r="D70" s="97"/>
      <c r="E70" s="97"/>
      <c r="F70" s="76"/>
      <c r="G70" s="77"/>
    </row>
    <row r="71" spans="2:7" ht="16" x14ac:dyDescent="0.2">
      <c r="B71" s="103"/>
      <c r="C71" s="98" t="str">
        <f t="shared" si="0"/>
        <v/>
      </c>
      <c r="D71" s="95"/>
      <c r="E71" s="95"/>
      <c r="F71" s="83"/>
      <c r="G71" s="84"/>
    </row>
    <row r="72" spans="2:7" ht="16" x14ac:dyDescent="0.2">
      <c r="B72" s="101"/>
      <c r="C72" s="97" t="str">
        <f t="shared" ref="C72:C135" si="1">IF(COUNT(E72),(E72-D72),"")</f>
        <v/>
      </c>
      <c r="D72" s="97"/>
      <c r="E72" s="97"/>
      <c r="F72" s="76"/>
      <c r="G72" s="77"/>
    </row>
    <row r="73" spans="2:7" ht="16" x14ac:dyDescent="0.2">
      <c r="B73" s="102"/>
      <c r="C73" s="98" t="str">
        <f t="shared" si="1"/>
        <v/>
      </c>
      <c r="D73" s="98"/>
      <c r="E73" s="98"/>
      <c r="F73" s="78"/>
      <c r="G73" s="79"/>
    </row>
    <row r="74" spans="2:7" ht="16" x14ac:dyDescent="0.2">
      <c r="B74" s="101"/>
      <c r="C74" s="97" t="str">
        <f t="shared" si="1"/>
        <v/>
      </c>
      <c r="D74" s="97"/>
      <c r="E74" s="97"/>
      <c r="F74" s="76"/>
      <c r="G74" s="77"/>
    </row>
    <row r="75" spans="2:7" ht="16" x14ac:dyDescent="0.2">
      <c r="B75" s="102"/>
      <c r="C75" s="98" t="str">
        <f t="shared" si="1"/>
        <v/>
      </c>
      <c r="D75" s="98"/>
      <c r="E75" s="98"/>
      <c r="F75" s="78"/>
      <c r="G75" s="79"/>
    </row>
    <row r="76" spans="2:7" ht="16" x14ac:dyDescent="0.2">
      <c r="B76" s="101"/>
      <c r="C76" s="97" t="str">
        <f t="shared" si="1"/>
        <v/>
      </c>
      <c r="D76" s="97"/>
      <c r="E76" s="97"/>
      <c r="F76" s="76"/>
      <c r="G76" s="77"/>
    </row>
    <row r="77" spans="2:7" ht="16" x14ac:dyDescent="0.2">
      <c r="B77" s="103"/>
      <c r="C77" s="98" t="str">
        <f t="shared" si="1"/>
        <v/>
      </c>
      <c r="D77" s="95"/>
      <c r="E77" s="95"/>
      <c r="F77" s="83"/>
      <c r="G77" s="84"/>
    </row>
    <row r="78" spans="2:7" ht="16" x14ac:dyDescent="0.2">
      <c r="B78" s="101"/>
      <c r="C78" s="97" t="str">
        <f t="shared" si="1"/>
        <v/>
      </c>
      <c r="D78" s="97"/>
      <c r="E78" s="97"/>
      <c r="F78" s="76"/>
      <c r="G78" s="77"/>
    </row>
    <row r="79" spans="2:7" ht="16" x14ac:dyDescent="0.2">
      <c r="B79" s="102"/>
      <c r="C79" s="98" t="str">
        <f t="shared" si="1"/>
        <v/>
      </c>
      <c r="D79" s="98"/>
      <c r="E79" s="98"/>
      <c r="F79" s="78"/>
      <c r="G79" s="79"/>
    </row>
    <row r="80" spans="2:7" ht="16" x14ac:dyDescent="0.2">
      <c r="B80" s="101"/>
      <c r="C80" s="97" t="str">
        <f t="shared" si="1"/>
        <v/>
      </c>
      <c r="D80" s="97"/>
      <c r="E80" s="97"/>
      <c r="F80" s="76"/>
      <c r="G80" s="77"/>
    </row>
    <row r="81" spans="2:7" ht="16" x14ac:dyDescent="0.2">
      <c r="B81" s="102"/>
      <c r="C81" s="98" t="str">
        <f t="shared" si="1"/>
        <v/>
      </c>
      <c r="D81" s="98"/>
      <c r="E81" s="98"/>
      <c r="F81" s="78"/>
      <c r="G81" s="79"/>
    </row>
    <row r="82" spans="2:7" ht="16" x14ac:dyDescent="0.2">
      <c r="B82" s="101"/>
      <c r="C82" s="97" t="str">
        <f t="shared" si="1"/>
        <v/>
      </c>
      <c r="D82" s="97"/>
      <c r="E82" s="97"/>
      <c r="F82" s="76"/>
      <c r="G82" s="77"/>
    </row>
    <row r="83" spans="2:7" ht="16" x14ac:dyDescent="0.2">
      <c r="B83" s="103"/>
      <c r="C83" s="98" t="str">
        <f t="shared" si="1"/>
        <v/>
      </c>
      <c r="D83" s="95"/>
      <c r="E83" s="95"/>
      <c r="F83" s="83"/>
      <c r="G83" s="84"/>
    </row>
    <row r="84" spans="2:7" ht="16" x14ac:dyDescent="0.2">
      <c r="B84" s="101"/>
      <c r="C84" s="97" t="str">
        <f t="shared" si="1"/>
        <v/>
      </c>
      <c r="D84" s="97"/>
      <c r="E84" s="97"/>
      <c r="F84" s="76"/>
      <c r="G84" s="77"/>
    </row>
    <row r="85" spans="2:7" ht="16" x14ac:dyDescent="0.2">
      <c r="B85" s="102"/>
      <c r="C85" s="98" t="str">
        <f t="shared" si="1"/>
        <v/>
      </c>
      <c r="D85" s="98"/>
      <c r="E85" s="98"/>
      <c r="F85" s="78"/>
      <c r="G85" s="79"/>
    </row>
    <row r="86" spans="2:7" ht="16" x14ac:dyDescent="0.2">
      <c r="B86" s="101"/>
      <c r="C86" s="97" t="str">
        <f t="shared" si="1"/>
        <v/>
      </c>
      <c r="D86" s="97"/>
      <c r="E86" s="97"/>
      <c r="F86" s="76"/>
      <c r="G86" s="77"/>
    </row>
    <row r="87" spans="2:7" ht="16" x14ac:dyDescent="0.2">
      <c r="B87" s="102"/>
      <c r="C87" s="98" t="str">
        <f t="shared" si="1"/>
        <v/>
      </c>
      <c r="D87" s="98"/>
      <c r="E87" s="98"/>
      <c r="F87" s="78"/>
      <c r="G87" s="79"/>
    </row>
    <row r="88" spans="2:7" ht="16" x14ac:dyDescent="0.2">
      <c r="B88" s="101"/>
      <c r="C88" s="97" t="str">
        <f t="shared" si="1"/>
        <v/>
      </c>
      <c r="D88" s="97"/>
      <c r="E88" s="97"/>
      <c r="F88" s="76"/>
      <c r="G88" s="77"/>
    </row>
    <row r="89" spans="2:7" ht="16" x14ac:dyDescent="0.2">
      <c r="B89" s="103"/>
      <c r="C89" s="98" t="str">
        <f t="shared" si="1"/>
        <v/>
      </c>
      <c r="D89" s="95"/>
      <c r="E89" s="95"/>
      <c r="F89" s="83"/>
      <c r="G89" s="84"/>
    </row>
    <row r="90" spans="2:7" ht="16" x14ac:dyDescent="0.2">
      <c r="B90" s="101"/>
      <c r="C90" s="97" t="str">
        <f t="shared" si="1"/>
        <v/>
      </c>
      <c r="D90" s="97"/>
      <c r="E90" s="97"/>
      <c r="F90" s="76"/>
      <c r="G90" s="77"/>
    </row>
    <row r="91" spans="2:7" ht="16" x14ac:dyDescent="0.2">
      <c r="B91" s="102"/>
      <c r="C91" s="98" t="str">
        <f t="shared" si="1"/>
        <v/>
      </c>
      <c r="D91" s="98"/>
      <c r="E91" s="98"/>
      <c r="F91" s="78"/>
      <c r="G91" s="79"/>
    </row>
    <row r="92" spans="2:7" ht="16" x14ac:dyDescent="0.2">
      <c r="B92" s="101"/>
      <c r="C92" s="97" t="str">
        <f t="shared" si="1"/>
        <v/>
      </c>
      <c r="D92" s="97"/>
      <c r="E92" s="97"/>
      <c r="F92" s="76"/>
      <c r="G92" s="77"/>
    </row>
    <row r="93" spans="2:7" ht="16" x14ac:dyDescent="0.2">
      <c r="B93" s="102"/>
      <c r="C93" s="98" t="str">
        <f t="shared" si="1"/>
        <v/>
      </c>
      <c r="D93" s="98"/>
      <c r="E93" s="98"/>
      <c r="F93" s="78"/>
      <c r="G93" s="79"/>
    </row>
    <row r="94" spans="2:7" ht="16" x14ac:dyDescent="0.2">
      <c r="B94" s="101"/>
      <c r="C94" s="97" t="str">
        <f t="shared" si="1"/>
        <v/>
      </c>
      <c r="D94" s="97"/>
      <c r="E94" s="97"/>
      <c r="F94" s="76"/>
      <c r="G94" s="77"/>
    </row>
    <row r="95" spans="2:7" ht="16" x14ac:dyDescent="0.2">
      <c r="B95" s="103"/>
      <c r="C95" s="98" t="str">
        <f t="shared" si="1"/>
        <v/>
      </c>
      <c r="D95" s="95"/>
      <c r="E95" s="95"/>
      <c r="F95" s="83"/>
      <c r="G95" s="84"/>
    </row>
    <row r="96" spans="2:7" ht="16" x14ac:dyDescent="0.2">
      <c r="B96" s="101"/>
      <c r="C96" s="97" t="str">
        <f t="shared" si="1"/>
        <v/>
      </c>
      <c r="D96" s="97"/>
      <c r="E96" s="97"/>
      <c r="F96" s="76"/>
      <c r="G96" s="77"/>
    </row>
    <row r="97" spans="2:7" ht="16" x14ac:dyDescent="0.2">
      <c r="B97" s="102"/>
      <c r="C97" s="98" t="str">
        <f t="shared" si="1"/>
        <v/>
      </c>
      <c r="D97" s="98"/>
      <c r="E97" s="98"/>
      <c r="F97" s="78"/>
      <c r="G97" s="79"/>
    </row>
    <row r="98" spans="2:7" ht="16" x14ac:dyDescent="0.2">
      <c r="B98" s="101"/>
      <c r="C98" s="97" t="str">
        <f t="shared" si="1"/>
        <v/>
      </c>
      <c r="D98" s="97"/>
      <c r="E98" s="97"/>
      <c r="F98" s="76"/>
      <c r="G98" s="77"/>
    </row>
    <row r="99" spans="2:7" ht="16" x14ac:dyDescent="0.2">
      <c r="B99" s="102"/>
      <c r="C99" s="98" t="str">
        <f t="shared" si="1"/>
        <v/>
      </c>
      <c r="D99" s="98"/>
      <c r="E99" s="98"/>
      <c r="F99" s="78"/>
      <c r="G99" s="79"/>
    </row>
    <row r="100" spans="2:7" ht="16" x14ac:dyDescent="0.2">
      <c r="B100" s="101"/>
      <c r="C100" s="97" t="str">
        <f t="shared" si="1"/>
        <v/>
      </c>
      <c r="D100" s="97"/>
      <c r="E100" s="97"/>
      <c r="F100" s="76"/>
      <c r="G100" s="77"/>
    </row>
    <row r="101" spans="2:7" ht="16" x14ac:dyDescent="0.2">
      <c r="B101" s="103"/>
      <c r="C101" s="98" t="str">
        <f t="shared" si="1"/>
        <v/>
      </c>
      <c r="D101" s="95"/>
      <c r="E101" s="95"/>
      <c r="F101" s="83"/>
      <c r="G101" s="84"/>
    </row>
    <row r="102" spans="2:7" ht="16" x14ac:dyDescent="0.2">
      <c r="B102" s="101"/>
      <c r="C102" s="97" t="str">
        <f t="shared" si="1"/>
        <v/>
      </c>
      <c r="D102" s="97"/>
      <c r="E102" s="97"/>
      <c r="F102" s="76"/>
      <c r="G102" s="77"/>
    </row>
    <row r="103" spans="2:7" ht="16" x14ac:dyDescent="0.2">
      <c r="B103" s="102"/>
      <c r="C103" s="98" t="str">
        <f t="shared" si="1"/>
        <v/>
      </c>
      <c r="D103" s="98"/>
      <c r="E103" s="98"/>
      <c r="F103" s="78"/>
      <c r="G103" s="79"/>
    </row>
    <row r="104" spans="2:7" ht="16" x14ac:dyDescent="0.2">
      <c r="B104" s="101"/>
      <c r="C104" s="97" t="str">
        <f t="shared" si="1"/>
        <v/>
      </c>
      <c r="D104" s="97"/>
      <c r="E104" s="97"/>
      <c r="F104" s="76"/>
      <c r="G104" s="77"/>
    </row>
    <row r="105" spans="2:7" ht="16" x14ac:dyDescent="0.2">
      <c r="B105" s="102"/>
      <c r="C105" s="98" t="str">
        <f t="shared" si="1"/>
        <v/>
      </c>
      <c r="D105" s="98"/>
      <c r="E105" s="98"/>
      <c r="F105" s="78"/>
      <c r="G105" s="79"/>
    </row>
    <row r="106" spans="2:7" ht="16" x14ac:dyDescent="0.2">
      <c r="B106" s="101"/>
      <c r="C106" s="97" t="str">
        <f t="shared" si="1"/>
        <v/>
      </c>
      <c r="D106" s="97"/>
      <c r="E106" s="97"/>
      <c r="F106" s="76"/>
      <c r="G106" s="77"/>
    </row>
    <row r="107" spans="2:7" ht="16" x14ac:dyDescent="0.2">
      <c r="B107" s="103"/>
      <c r="C107" s="98" t="str">
        <f t="shared" si="1"/>
        <v/>
      </c>
      <c r="D107" s="95"/>
      <c r="E107" s="95"/>
      <c r="F107" s="83"/>
      <c r="G107" s="84"/>
    </row>
    <row r="108" spans="2:7" ht="16" x14ac:dyDescent="0.2">
      <c r="B108" s="101"/>
      <c r="C108" s="97" t="str">
        <f t="shared" si="1"/>
        <v/>
      </c>
      <c r="D108" s="97"/>
      <c r="E108" s="97"/>
      <c r="F108" s="76"/>
      <c r="G108" s="77"/>
    </row>
    <row r="109" spans="2:7" ht="16" x14ac:dyDescent="0.2">
      <c r="B109" s="102"/>
      <c r="C109" s="98" t="str">
        <f t="shared" si="1"/>
        <v/>
      </c>
      <c r="D109" s="98"/>
      <c r="E109" s="98"/>
      <c r="F109" s="78"/>
      <c r="G109" s="79"/>
    </row>
    <row r="110" spans="2:7" ht="16" x14ac:dyDescent="0.2">
      <c r="B110" s="101"/>
      <c r="C110" s="97" t="str">
        <f t="shared" si="1"/>
        <v/>
      </c>
      <c r="D110" s="97"/>
      <c r="E110" s="97"/>
      <c r="F110" s="76"/>
      <c r="G110" s="77"/>
    </row>
    <row r="111" spans="2:7" ht="16" x14ac:dyDescent="0.2">
      <c r="B111" s="102"/>
      <c r="C111" s="98" t="str">
        <f t="shared" si="1"/>
        <v/>
      </c>
      <c r="D111" s="98"/>
      <c r="E111" s="98"/>
      <c r="F111" s="78"/>
      <c r="G111" s="79"/>
    </row>
    <row r="112" spans="2:7" ht="16" x14ac:dyDescent="0.2">
      <c r="B112" s="101"/>
      <c r="C112" s="97" t="str">
        <f t="shared" si="1"/>
        <v/>
      </c>
      <c r="D112" s="97"/>
      <c r="E112" s="97"/>
      <c r="F112" s="76"/>
      <c r="G112" s="77"/>
    </row>
    <row r="113" spans="2:7" ht="16" x14ac:dyDescent="0.2">
      <c r="B113" s="103"/>
      <c r="C113" s="98" t="str">
        <f t="shared" si="1"/>
        <v/>
      </c>
      <c r="D113" s="95"/>
      <c r="E113" s="95"/>
      <c r="F113" s="83"/>
      <c r="G113" s="84"/>
    </row>
    <row r="114" spans="2:7" ht="16" x14ac:dyDescent="0.2">
      <c r="B114" s="101"/>
      <c r="C114" s="97" t="str">
        <f t="shared" si="1"/>
        <v/>
      </c>
      <c r="D114" s="97"/>
      <c r="E114" s="97"/>
      <c r="F114" s="76"/>
      <c r="G114" s="77"/>
    </row>
    <row r="115" spans="2:7" ht="16" x14ac:dyDescent="0.2">
      <c r="B115" s="102"/>
      <c r="C115" s="98" t="str">
        <f t="shared" si="1"/>
        <v/>
      </c>
      <c r="D115" s="98"/>
      <c r="E115" s="98"/>
      <c r="F115" s="78"/>
      <c r="G115" s="79"/>
    </row>
    <row r="116" spans="2:7" ht="16" x14ac:dyDescent="0.2">
      <c r="B116" s="101"/>
      <c r="C116" s="97" t="str">
        <f t="shared" si="1"/>
        <v/>
      </c>
      <c r="D116" s="97"/>
      <c r="E116" s="97"/>
      <c r="F116" s="76"/>
      <c r="G116" s="77"/>
    </row>
    <row r="117" spans="2:7" ht="16" x14ac:dyDescent="0.2">
      <c r="B117" s="102"/>
      <c r="C117" s="98" t="str">
        <f t="shared" si="1"/>
        <v/>
      </c>
      <c r="D117" s="98"/>
      <c r="E117" s="98"/>
      <c r="F117" s="78"/>
      <c r="G117" s="79"/>
    </row>
    <row r="118" spans="2:7" ht="16" x14ac:dyDescent="0.2">
      <c r="B118" s="101"/>
      <c r="C118" s="97" t="str">
        <f t="shared" si="1"/>
        <v/>
      </c>
      <c r="D118" s="97"/>
      <c r="E118" s="97"/>
      <c r="F118" s="76"/>
      <c r="G118" s="77"/>
    </row>
    <row r="119" spans="2:7" ht="16" x14ac:dyDescent="0.2">
      <c r="B119" s="103"/>
      <c r="C119" s="98" t="str">
        <f t="shared" si="1"/>
        <v/>
      </c>
      <c r="D119" s="95"/>
      <c r="E119" s="95"/>
      <c r="F119" s="83"/>
      <c r="G119" s="84"/>
    </row>
    <row r="120" spans="2:7" ht="16" x14ac:dyDescent="0.2">
      <c r="B120" s="101"/>
      <c r="C120" s="97" t="str">
        <f t="shared" si="1"/>
        <v/>
      </c>
      <c r="D120" s="97"/>
      <c r="E120" s="97"/>
      <c r="F120" s="76"/>
      <c r="G120" s="77"/>
    </row>
    <row r="121" spans="2:7" ht="16" x14ac:dyDescent="0.2">
      <c r="B121" s="102"/>
      <c r="C121" s="98" t="str">
        <f t="shared" si="1"/>
        <v/>
      </c>
      <c r="D121" s="98"/>
      <c r="E121" s="98"/>
      <c r="F121" s="78"/>
      <c r="G121" s="79"/>
    </row>
    <row r="122" spans="2:7" ht="16" x14ac:dyDescent="0.2">
      <c r="B122" s="101"/>
      <c r="C122" s="97" t="str">
        <f t="shared" si="1"/>
        <v/>
      </c>
      <c r="D122" s="97"/>
      <c r="E122" s="97"/>
      <c r="F122" s="76"/>
      <c r="G122" s="77"/>
    </row>
    <row r="123" spans="2:7" ht="16" x14ac:dyDescent="0.2">
      <c r="B123" s="102"/>
      <c r="C123" s="98" t="str">
        <f t="shared" si="1"/>
        <v/>
      </c>
      <c r="D123" s="98"/>
      <c r="E123" s="98"/>
      <c r="F123" s="78"/>
      <c r="G123" s="79"/>
    </row>
    <row r="124" spans="2:7" ht="16" x14ac:dyDescent="0.2">
      <c r="B124" s="101"/>
      <c r="C124" s="97" t="str">
        <f t="shared" si="1"/>
        <v/>
      </c>
      <c r="D124" s="97"/>
      <c r="E124" s="97"/>
      <c r="F124" s="76"/>
      <c r="G124" s="77"/>
    </row>
    <row r="125" spans="2:7" ht="16" x14ac:dyDescent="0.2">
      <c r="B125" s="103"/>
      <c r="C125" s="98" t="str">
        <f t="shared" si="1"/>
        <v/>
      </c>
      <c r="D125" s="95"/>
      <c r="E125" s="95"/>
      <c r="F125" s="83"/>
      <c r="G125" s="84"/>
    </row>
    <row r="126" spans="2:7" ht="16" x14ac:dyDescent="0.2">
      <c r="B126" s="101"/>
      <c r="C126" s="97" t="str">
        <f t="shared" si="1"/>
        <v/>
      </c>
      <c r="D126" s="97"/>
      <c r="E126" s="97"/>
      <c r="F126" s="76"/>
      <c r="G126" s="77"/>
    </row>
    <row r="127" spans="2:7" ht="16" x14ac:dyDescent="0.2">
      <c r="B127" s="102"/>
      <c r="C127" s="98" t="str">
        <f t="shared" si="1"/>
        <v/>
      </c>
      <c r="D127" s="98"/>
      <c r="E127" s="98"/>
      <c r="F127" s="78"/>
      <c r="G127" s="79"/>
    </row>
    <row r="128" spans="2:7" ht="16" x14ac:dyDescent="0.2">
      <c r="B128" s="101"/>
      <c r="C128" s="97" t="str">
        <f t="shared" si="1"/>
        <v/>
      </c>
      <c r="D128" s="97"/>
      <c r="E128" s="97"/>
      <c r="F128" s="76"/>
      <c r="G128" s="77"/>
    </row>
    <row r="129" spans="2:7" ht="16" x14ac:dyDescent="0.2">
      <c r="B129" s="102"/>
      <c r="C129" s="98" t="str">
        <f t="shared" si="1"/>
        <v/>
      </c>
      <c r="D129" s="98"/>
      <c r="E129" s="98"/>
      <c r="F129" s="78"/>
      <c r="G129" s="79"/>
    </row>
    <row r="130" spans="2:7" ht="16" x14ac:dyDescent="0.2">
      <c r="B130" s="101"/>
      <c r="C130" s="97" t="str">
        <f t="shared" si="1"/>
        <v/>
      </c>
      <c r="D130" s="97"/>
      <c r="E130" s="97"/>
      <c r="F130" s="76"/>
      <c r="G130" s="77"/>
    </row>
    <row r="131" spans="2:7" ht="16" x14ac:dyDescent="0.2">
      <c r="B131" s="103"/>
      <c r="C131" s="98" t="str">
        <f t="shared" si="1"/>
        <v/>
      </c>
      <c r="D131" s="95"/>
      <c r="E131" s="95"/>
      <c r="F131" s="83"/>
      <c r="G131" s="84"/>
    </row>
    <row r="132" spans="2:7" ht="16" x14ac:dyDescent="0.2">
      <c r="B132" s="101"/>
      <c r="C132" s="97" t="str">
        <f t="shared" si="1"/>
        <v/>
      </c>
      <c r="D132" s="97"/>
      <c r="E132" s="97"/>
      <c r="F132" s="76"/>
      <c r="G132" s="77"/>
    </row>
    <row r="133" spans="2:7" ht="16" x14ac:dyDescent="0.2">
      <c r="B133" s="102"/>
      <c r="C133" s="98" t="str">
        <f t="shared" si="1"/>
        <v/>
      </c>
      <c r="D133" s="98"/>
      <c r="E133" s="98"/>
      <c r="F133" s="78"/>
      <c r="G133" s="79"/>
    </row>
    <row r="134" spans="2:7" ht="16" x14ac:dyDescent="0.2">
      <c r="B134" s="101"/>
      <c r="C134" s="97" t="str">
        <f t="shared" si="1"/>
        <v/>
      </c>
      <c r="D134" s="97"/>
      <c r="E134" s="97"/>
      <c r="F134" s="76"/>
      <c r="G134" s="77"/>
    </row>
    <row r="135" spans="2:7" ht="16" x14ac:dyDescent="0.2">
      <c r="B135" s="102"/>
      <c r="C135" s="98" t="str">
        <f t="shared" si="1"/>
        <v/>
      </c>
      <c r="D135" s="98"/>
      <c r="E135" s="98"/>
      <c r="F135" s="78"/>
      <c r="G135" s="79"/>
    </row>
    <row r="136" spans="2:7" ht="16" x14ac:dyDescent="0.2">
      <c r="B136" s="101"/>
      <c r="C136" s="97" t="str">
        <f t="shared" ref="C136:C152" si="2">IF(COUNT(E136),(E136-D136),"")</f>
        <v/>
      </c>
      <c r="D136" s="97"/>
      <c r="E136" s="97"/>
      <c r="F136" s="76"/>
      <c r="G136" s="77"/>
    </row>
    <row r="137" spans="2:7" ht="16" x14ac:dyDescent="0.2">
      <c r="B137" s="103"/>
      <c r="C137" s="98" t="str">
        <f t="shared" si="2"/>
        <v/>
      </c>
      <c r="D137" s="95"/>
      <c r="E137" s="95"/>
      <c r="F137" s="83"/>
      <c r="G137" s="84"/>
    </row>
    <row r="138" spans="2:7" ht="16" x14ac:dyDescent="0.2">
      <c r="B138" s="101"/>
      <c r="C138" s="97" t="str">
        <f t="shared" si="2"/>
        <v/>
      </c>
      <c r="D138" s="97"/>
      <c r="E138" s="97"/>
      <c r="F138" s="76"/>
      <c r="G138" s="77"/>
    </row>
    <row r="139" spans="2:7" ht="16" x14ac:dyDescent="0.2">
      <c r="B139" s="102"/>
      <c r="C139" s="98" t="str">
        <f t="shared" si="2"/>
        <v/>
      </c>
      <c r="D139" s="98"/>
      <c r="E139" s="98"/>
      <c r="F139" s="78"/>
      <c r="G139" s="79"/>
    </row>
    <row r="140" spans="2:7" ht="16" x14ac:dyDescent="0.2">
      <c r="B140" s="101"/>
      <c r="C140" s="97" t="str">
        <f t="shared" si="2"/>
        <v/>
      </c>
      <c r="D140" s="97"/>
      <c r="E140" s="97"/>
      <c r="F140" s="76"/>
      <c r="G140" s="77"/>
    </row>
    <row r="141" spans="2:7" ht="16" x14ac:dyDescent="0.2">
      <c r="B141" s="102"/>
      <c r="C141" s="98" t="str">
        <f t="shared" si="2"/>
        <v/>
      </c>
      <c r="D141" s="98"/>
      <c r="E141" s="98"/>
      <c r="F141" s="78"/>
      <c r="G141" s="79"/>
    </row>
    <row r="142" spans="2:7" ht="16" x14ac:dyDescent="0.2">
      <c r="B142" s="101"/>
      <c r="C142" s="97" t="str">
        <f t="shared" si="2"/>
        <v/>
      </c>
      <c r="D142" s="97"/>
      <c r="E142" s="97"/>
      <c r="F142" s="76"/>
      <c r="G142" s="77"/>
    </row>
    <row r="143" spans="2:7" ht="16" x14ac:dyDescent="0.2">
      <c r="B143" s="103"/>
      <c r="C143" s="98" t="str">
        <f t="shared" si="2"/>
        <v/>
      </c>
      <c r="D143" s="95"/>
      <c r="E143" s="95"/>
      <c r="F143" s="83"/>
      <c r="G143" s="84"/>
    </row>
    <row r="144" spans="2:7" ht="16" x14ac:dyDescent="0.2">
      <c r="B144" s="101"/>
      <c r="C144" s="97" t="str">
        <f t="shared" si="2"/>
        <v/>
      </c>
      <c r="D144" s="97"/>
      <c r="E144" s="97"/>
      <c r="F144" s="76"/>
      <c r="G144" s="77"/>
    </row>
    <row r="145" spans="2:7" ht="16" x14ac:dyDescent="0.2">
      <c r="B145" s="102"/>
      <c r="C145" s="98" t="str">
        <f t="shared" si="2"/>
        <v/>
      </c>
      <c r="D145" s="98"/>
      <c r="E145" s="98"/>
      <c r="F145" s="78"/>
      <c r="G145" s="79"/>
    </row>
    <row r="146" spans="2:7" ht="16" x14ac:dyDescent="0.2">
      <c r="B146" s="101"/>
      <c r="C146" s="97" t="str">
        <f t="shared" si="2"/>
        <v/>
      </c>
      <c r="D146" s="97"/>
      <c r="E146" s="97"/>
      <c r="F146" s="76"/>
      <c r="G146" s="77"/>
    </row>
    <row r="147" spans="2:7" ht="16" x14ac:dyDescent="0.2">
      <c r="B147" s="102"/>
      <c r="C147" s="98" t="str">
        <f t="shared" si="2"/>
        <v/>
      </c>
      <c r="D147" s="98"/>
      <c r="E147" s="98"/>
      <c r="F147" s="78"/>
      <c r="G147" s="79"/>
    </row>
    <row r="148" spans="2:7" ht="16" x14ac:dyDescent="0.2">
      <c r="B148" s="101"/>
      <c r="C148" s="97" t="str">
        <f t="shared" si="2"/>
        <v/>
      </c>
      <c r="D148" s="97"/>
      <c r="E148" s="97"/>
      <c r="F148" s="76"/>
      <c r="G148" s="77"/>
    </row>
    <row r="149" spans="2:7" ht="16" x14ac:dyDescent="0.2">
      <c r="B149" s="103"/>
      <c r="C149" s="98" t="str">
        <f t="shared" si="2"/>
        <v/>
      </c>
      <c r="D149" s="95"/>
      <c r="E149" s="95"/>
      <c r="F149" s="83"/>
      <c r="G149" s="84"/>
    </row>
    <row r="150" spans="2:7" ht="16" x14ac:dyDescent="0.2">
      <c r="B150" s="101"/>
      <c r="C150" s="97" t="str">
        <f t="shared" si="2"/>
        <v/>
      </c>
      <c r="D150" s="97"/>
      <c r="E150" s="97"/>
      <c r="F150" s="76"/>
      <c r="G150" s="77"/>
    </row>
    <row r="151" spans="2:7" ht="16" x14ac:dyDescent="0.2">
      <c r="B151" s="102"/>
      <c r="C151" s="98" t="str">
        <f t="shared" si="2"/>
        <v/>
      </c>
      <c r="D151" s="98"/>
      <c r="E151" s="98"/>
      <c r="F151" s="78"/>
      <c r="G151" s="79"/>
    </row>
    <row r="152" spans="2:7" ht="16" x14ac:dyDescent="0.2">
      <c r="B152" s="101"/>
      <c r="C152" s="97" t="str">
        <f t="shared" si="2"/>
        <v/>
      </c>
      <c r="D152" s="97"/>
      <c r="E152" s="97"/>
      <c r="F152" s="76"/>
      <c r="G152" s="77"/>
    </row>
    <row r="153" spans="2:7" x14ac:dyDescent="0.2">
      <c r="B153" s="102"/>
      <c r="C153" s="98"/>
      <c r="D153" s="98"/>
      <c r="E153" s="98"/>
      <c r="F153" s="78"/>
      <c r="G153" s="79"/>
    </row>
    <row r="154" spans="2:7" ht="16" thickBot="1" x14ac:dyDescent="0.25">
      <c r="B154" s="104"/>
      <c r="C154" s="99"/>
      <c r="D154" s="99"/>
      <c r="E154" s="99"/>
      <c r="F154" s="80"/>
      <c r="G154" s="81"/>
    </row>
  </sheetData>
  <mergeCells count="3">
    <mergeCell ref="B1:G1"/>
    <mergeCell ref="B2:F2"/>
    <mergeCell ref="B3:G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E922-C1B2-4B85-8DFC-6AA3D40682CF}">
  <dimension ref="A1:AY371"/>
  <sheetViews>
    <sheetView tabSelected="1" topLeftCell="A20" zoomScaleNormal="52" workbookViewId="0">
      <selection activeCell="AH37" activeCellId="1" sqref="AF37 AH37"/>
    </sheetView>
  </sheetViews>
  <sheetFormatPr baseColWidth="10" defaultRowHeight="15" x14ac:dyDescent="0.2"/>
  <cols>
    <col min="2" max="2" width="23.5" bestFit="1" customWidth="1"/>
    <col min="3" max="3" width="20.6640625" bestFit="1" customWidth="1"/>
    <col min="4" max="4" width="14.83203125" bestFit="1" customWidth="1"/>
    <col min="5" max="5" width="14.5" bestFit="1" customWidth="1"/>
    <col min="6" max="51" width="3.5" customWidth="1"/>
  </cols>
  <sheetData>
    <row r="1" spans="1:51" ht="34" x14ac:dyDescent="0.2">
      <c r="A1" s="72"/>
      <c r="B1" s="85" t="s">
        <v>58</v>
      </c>
      <c r="C1" s="86"/>
      <c r="D1" s="86"/>
      <c r="E1" s="86"/>
      <c r="F1" s="86"/>
      <c r="G1" s="87"/>
      <c r="H1" s="87"/>
      <c r="I1" s="87"/>
      <c r="J1" s="87"/>
      <c r="K1" s="87"/>
      <c r="L1" s="87"/>
      <c r="M1" s="88"/>
      <c r="N1" s="89"/>
      <c r="O1" s="89"/>
      <c r="P1" s="89"/>
      <c r="Q1" s="89"/>
      <c r="R1" s="89"/>
      <c r="S1" s="5"/>
      <c r="T1" s="5"/>
      <c r="U1" s="5"/>
      <c r="V1" s="5"/>
      <c r="W1" s="5"/>
      <c r="X1" s="5"/>
      <c r="Y1" s="87"/>
      <c r="Z1" s="87"/>
      <c r="AA1" s="87"/>
      <c r="AB1" s="87"/>
      <c r="AC1" s="87"/>
      <c r="AD1" s="87"/>
      <c r="AE1" s="88"/>
      <c r="AF1" s="89"/>
      <c r="AG1" s="89"/>
      <c r="AH1" s="89"/>
      <c r="AI1" s="89"/>
      <c r="AJ1" s="89"/>
      <c r="AK1" s="5"/>
      <c r="AL1" s="5"/>
      <c r="AM1" s="5"/>
      <c r="AN1" s="5"/>
      <c r="AO1" s="5"/>
      <c r="AP1" s="5"/>
      <c r="AQ1" s="87"/>
      <c r="AR1" s="87"/>
      <c r="AS1" s="87"/>
      <c r="AT1" s="87"/>
      <c r="AU1" s="87"/>
      <c r="AV1" s="87"/>
      <c r="AW1" s="88"/>
      <c r="AX1" s="89"/>
      <c r="AY1" s="89"/>
    </row>
    <row r="2" spans="1:51" ht="21" x14ac:dyDescent="0.2">
      <c r="B2" s="6"/>
      <c r="C2" s="7"/>
      <c r="D2" s="8"/>
      <c r="E2" s="9"/>
      <c r="F2" s="10"/>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row>
    <row r="3" spans="1:51" ht="21" x14ac:dyDescent="0.2">
      <c r="B3" s="11" t="s">
        <v>31</v>
      </c>
      <c r="C3" s="12">
        <f>DATE(2026,2,2)</f>
        <v>46055</v>
      </c>
      <c r="D3" s="13" cm="1">
        <f t="array" aca="1" ref="D3" ca="1">IFERROR(IF(MIN(Milestones435[Days])=0,TODAY(),#REF!(Milestones435[Days])),TODAY())</f>
        <v>46092</v>
      </c>
      <c r="E3" s="14"/>
      <c r="F3" s="15"/>
      <c r="G3" s="56" t="str">
        <f>TEXT(G4,"mmmm")</f>
        <v>février</v>
      </c>
      <c r="H3" s="57"/>
      <c r="I3" s="57"/>
      <c r="J3" s="57"/>
      <c r="K3" s="57"/>
      <c r="L3" s="57"/>
      <c r="M3" s="57"/>
      <c r="N3" s="57"/>
      <c r="O3" s="57"/>
      <c r="P3" s="57"/>
      <c r="Q3" s="57"/>
      <c r="R3" s="57"/>
      <c r="S3" s="57"/>
      <c r="T3" s="57"/>
      <c r="U3" s="57"/>
      <c r="V3" s="57"/>
      <c r="W3" s="57"/>
      <c r="X3" s="57"/>
      <c r="Y3" s="56"/>
      <c r="Z3" s="57"/>
      <c r="AA3" s="64" t="str">
        <f>TEXT(AA4,"mmmm")</f>
        <v>mars</v>
      </c>
      <c r="AB3" s="57"/>
      <c r="AC3" s="63"/>
      <c r="AD3" s="57"/>
      <c r="AE3" s="57"/>
      <c r="AF3" s="57"/>
      <c r="AG3" s="57"/>
      <c r="AH3" s="57"/>
      <c r="AI3" s="57"/>
      <c r="AJ3" s="57"/>
      <c r="AK3" s="57"/>
      <c r="AL3" s="57"/>
      <c r="AM3" s="57"/>
      <c r="AN3" s="57"/>
      <c r="AO3" s="57"/>
      <c r="AP3" s="57"/>
      <c r="AQ3" s="57"/>
      <c r="AR3" s="57"/>
      <c r="AS3" s="57"/>
      <c r="AT3" s="57"/>
      <c r="AU3" s="57"/>
      <c r="AV3" s="57"/>
      <c r="AW3" s="57" t="str">
        <f>TEXT(AW4,"mmmm")</f>
        <v>avril</v>
      </c>
      <c r="AX3" s="57"/>
      <c r="AY3" s="57"/>
    </row>
    <row r="4" spans="1:51" x14ac:dyDescent="0.2">
      <c r="B4" s="16"/>
      <c r="C4" s="17" t="s">
        <v>3</v>
      </c>
      <c r="D4" s="18"/>
      <c r="E4" s="14"/>
      <c r="F4" s="19"/>
      <c r="G4" s="58">
        <v>33</v>
      </c>
      <c r="H4" s="58">
        <f>G4+1</f>
        <v>34</v>
      </c>
      <c r="I4" s="58">
        <f t="shared" ref="I4:X4" si="0">H4+1</f>
        <v>35</v>
      </c>
      <c r="J4" s="58">
        <f>I4+1</f>
        <v>36</v>
      </c>
      <c r="K4" s="59">
        <f>J4+1</f>
        <v>37</v>
      </c>
      <c r="L4" s="60">
        <v>9</v>
      </c>
      <c r="M4" s="58">
        <f>L4+1</f>
        <v>10</v>
      </c>
      <c r="N4" s="58">
        <f>M4+1</f>
        <v>11</v>
      </c>
      <c r="O4" s="58">
        <f>N4+1</f>
        <v>12</v>
      </c>
      <c r="P4" s="59">
        <f t="shared" si="0"/>
        <v>13</v>
      </c>
      <c r="Q4" s="60">
        <v>16</v>
      </c>
      <c r="R4" s="58">
        <f t="shared" si="0"/>
        <v>17</v>
      </c>
      <c r="S4" s="58">
        <f t="shared" si="0"/>
        <v>18</v>
      </c>
      <c r="T4" s="58">
        <f t="shared" si="0"/>
        <v>19</v>
      </c>
      <c r="U4" s="59">
        <f>T4+1</f>
        <v>20</v>
      </c>
      <c r="V4" s="60">
        <v>23</v>
      </c>
      <c r="W4" s="58">
        <f t="shared" si="0"/>
        <v>24</v>
      </c>
      <c r="X4" s="58">
        <f t="shared" si="0"/>
        <v>25</v>
      </c>
      <c r="Y4" s="58">
        <v>26</v>
      </c>
      <c r="Z4" s="59">
        <f>Y4+1</f>
        <v>27</v>
      </c>
      <c r="AA4" s="60">
        <v>62</v>
      </c>
      <c r="AB4" s="58">
        <f t="shared" ref="AB4" si="1">AA4+1</f>
        <v>63</v>
      </c>
      <c r="AC4" s="58">
        <f t="shared" ref="AC4" si="2">AB4+1</f>
        <v>64</v>
      </c>
      <c r="AD4" s="58">
        <f t="shared" ref="AD4" si="3">AC4+1</f>
        <v>65</v>
      </c>
      <c r="AE4" s="59">
        <f t="shared" ref="AE4" si="4">AD4+1</f>
        <v>66</v>
      </c>
      <c r="AF4" s="60">
        <v>9</v>
      </c>
      <c r="AG4" s="58">
        <f t="shared" ref="AG4" si="5">AF4+1</f>
        <v>10</v>
      </c>
      <c r="AH4" s="58">
        <f t="shared" ref="AH4" si="6">AG4+1</f>
        <v>11</v>
      </c>
      <c r="AI4" s="58">
        <f t="shared" ref="AI4" si="7">AH4+1</f>
        <v>12</v>
      </c>
      <c r="AJ4" s="59">
        <f t="shared" ref="AJ4" si="8">AI4+1</f>
        <v>13</v>
      </c>
      <c r="AK4" s="60">
        <v>16</v>
      </c>
      <c r="AL4" s="58">
        <f t="shared" ref="AL4" si="9">AK4+1</f>
        <v>17</v>
      </c>
      <c r="AM4" s="58">
        <f t="shared" ref="AM4" si="10">AL4+1</f>
        <v>18</v>
      </c>
      <c r="AN4" s="58">
        <f t="shared" ref="AN4" si="11">AM4+1</f>
        <v>19</v>
      </c>
      <c r="AO4" s="59">
        <f t="shared" ref="AO4" si="12">AN4+1</f>
        <v>20</v>
      </c>
      <c r="AP4" s="60">
        <v>23</v>
      </c>
      <c r="AQ4" s="58">
        <f t="shared" ref="AQ4" si="13">AP4+1</f>
        <v>24</v>
      </c>
      <c r="AR4" s="58">
        <f t="shared" ref="AR4" si="14">AQ4+1</f>
        <v>25</v>
      </c>
      <c r="AS4" s="58">
        <f t="shared" ref="AS4" si="15">AR4+1</f>
        <v>26</v>
      </c>
      <c r="AT4" s="62">
        <f t="shared" ref="AT4" si="16">AS4+1</f>
        <v>27</v>
      </c>
      <c r="AU4" s="61">
        <v>30</v>
      </c>
      <c r="AV4" s="58">
        <f t="shared" ref="AV4" si="17">AU4+1</f>
        <v>31</v>
      </c>
      <c r="AW4" s="58">
        <v>92</v>
      </c>
      <c r="AX4" s="58">
        <f t="shared" ref="AX4" si="18">AW4+1</f>
        <v>93</v>
      </c>
      <c r="AY4" s="58">
        <f t="shared" ref="AY4" si="19">AX4+1</f>
        <v>94</v>
      </c>
    </row>
    <row r="5" spans="1:51" x14ac:dyDescent="0.2">
      <c r="B5" s="20"/>
      <c r="C5" s="21"/>
      <c r="D5" s="18"/>
      <c r="E5" s="14"/>
      <c r="F5" s="22"/>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row>
    <row r="6" spans="1:51" ht="16" x14ac:dyDescent="0.2">
      <c r="B6" s="23" t="s">
        <v>2</v>
      </c>
      <c r="C6" s="24" t="s">
        <v>32</v>
      </c>
      <c r="D6" s="25" t="s">
        <v>33</v>
      </c>
      <c r="E6" s="26" t="s">
        <v>29</v>
      </c>
      <c r="F6" s="27"/>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row>
    <row r="7" spans="1:51" ht="45" customHeight="1" x14ac:dyDescent="0.2">
      <c r="B7" s="29" t="s">
        <v>7</v>
      </c>
      <c r="C7" s="30" t="s">
        <v>20</v>
      </c>
      <c r="D7" s="31">
        <v>46055</v>
      </c>
      <c r="E7" s="32">
        <v>1</v>
      </c>
      <c r="F7" s="33"/>
      <c r="G7" s="51" t="str">
        <f t="shared" ref="G7:V20" si="20">IF(AND($C7="Goal",G$4&gt;=$D7,G$4&lt;=$D7+$E7-1),2,IF(AND($C7="Milestone",G$4&gt;=$D7,G$4&lt;=$D7+$E7-1),1,""))</f>
        <v/>
      </c>
      <c r="H7" s="35" t="str">
        <f t="shared" si="20"/>
        <v/>
      </c>
      <c r="I7" s="36" t="str">
        <f t="shared" si="20"/>
        <v/>
      </c>
      <c r="J7" s="35" t="str">
        <f t="shared" si="20"/>
        <v/>
      </c>
      <c r="K7" s="35" t="str">
        <f t="shared" si="20"/>
        <v/>
      </c>
      <c r="L7" s="35" t="str">
        <f t="shared" si="20"/>
        <v/>
      </c>
      <c r="M7" s="35" t="str">
        <f t="shared" si="20"/>
        <v/>
      </c>
      <c r="N7" s="35" t="str">
        <f t="shared" si="20"/>
        <v/>
      </c>
      <c r="O7" s="35" t="str">
        <f t="shared" si="20"/>
        <v/>
      </c>
      <c r="P7" s="35" t="str">
        <f t="shared" si="20"/>
        <v/>
      </c>
      <c r="Q7" s="35" t="str">
        <f t="shared" si="20"/>
        <v/>
      </c>
      <c r="R7" s="35" t="str">
        <f t="shared" si="20"/>
        <v/>
      </c>
      <c r="S7" s="35" t="str">
        <f t="shared" si="20"/>
        <v/>
      </c>
      <c r="T7" s="35" t="str">
        <f t="shared" si="20"/>
        <v/>
      </c>
      <c r="U7" s="35" t="str">
        <f t="shared" si="20"/>
        <v/>
      </c>
      <c r="V7" s="35" t="str">
        <f t="shared" si="20"/>
        <v/>
      </c>
      <c r="W7" s="35" t="str">
        <f t="shared" ref="W7:AY7" si="21">IF(AND($C7="Goal",W$4&gt;=$D7,W$4&lt;=$D7+$E7-1),2,IF(AND($C7="Milestone",W$4&gt;=$D7,W$4&lt;=$D7+$E7-1),1,""))</f>
        <v/>
      </c>
      <c r="X7" s="35" t="str">
        <f t="shared" si="21"/>
        <v/>
      </c>
      <c r="Y7" s="35" t="str">
        <f t="shared" si="21"/>
        <v/>
      </c>
      <c r="Z7" s="35" t="str">
        <f t="shared" si="21"/>
        <v/>
      </c>
      <c r="AA7" s="35" t="str">
        <f t="shared" si="21"/>
        <v/>
      </c>
      <c r="AB7" s="35" t="str">
        <f t="shared" si="21"/>
        <v/>
      </c>
      <c r="AC7" s="35" t="str">
        <f t="shared" si="21"/>
        <v/>
      </c>
      <c r="AD7" s="35" t="str">
        <f t="shared" si="21"/>
        <v/>
      </c>
      <c r="AE7" s="35" t="str">
        <f t="shared" si="21"/>
        <v/>
      </c>
      <c r="AF7" s="35" t="str">
        <f t="shared" si="21"/>
        <v/>
      </c>
      <c r="AG7" s="35" t="str">
        <f t="shared" si="21"/>
        <v/>
      </c>
      <c r="AH7" s="35" t="str">
        <f t="shared" si="21"/>
        <v/>
      </c>
      <c r="AI7" s="35" t="str">
        <f t="shared" si="21"/>
        <v/>
      </c>
      <c r="AJ7" s="35" t="str">
        <f t="shared" si="21"/>
        <v/>
      </c>
      <c r="AK7" s="35" t="str">
        <f t="shared" si="21"/>
        <v/>
      </c>
      <c r="AL7" s="35" t="str">
        <f t="shared" si="21"/>
        <v/>
      </c>
      <c r="AM7" s="35" t="str">
        <f t="shared" si="21"/>
        <v/>
      </c>
      <c r="AN7" s="35" t="str">
        <f t="shared" si="21"/>
        <v/>
      </c>
      <c r="AO7" s="35" t="str">
        <f t="shared" si="21"/>
        <v/>
      </c>
      <c r="AP7" s="35" t="str">
        <f t="shared" si="21"/>
        <v/>
      </c>
      <c r="AQ7" s="35" t="str">
        <f t="shared" si="21"/>
        <v/>
      </c>
      <c r="AR7" s="35" t="str">
        <f t="shared" si="21"/>
        <v/>
      </c>
      <c r="AS7" s="35" t="str">
        <f t="shared" si="21"/>
        <v/>
      </c>
      <c r="AT7" s="35" t="str">
        <f t="shared" si="21"/>
        <v/>
      </c>
      <c r="AU7" s="35" t="str">
        <f t="shared" si="21"/>
        <v/>
      </c>
      <c r="AV7" s="35" t="str">
        <f t="shared" si="21"/>
        <v/>
      </c>
      <c r="AW7" s="35" t="str">
        <f t="shared" si="21"/>
        <v/>
      </c>
      <c r="AX7" s="35" t="str">
        <f t="shared" si="21"/>
        <v/>
      </c>
      <c r="AY7" s="35" t="str">
        <f t="shared" si="21"/>
        <v/>
      </c>
    </row>
    <row r="8" spans="1:51" ht="45" customHeight="1" x14ac:dyDescent="0.2">
      <c r="B8" s="38" t="s">
        <v>5</v>
      </c>
      <c r="C8" s="54" t="s">
        <v>20</v>
      </c>
      <c r="D8" s="70">
        <v>46056</v>
      </c>
      <c r="E8" s="40">
        <v>2</v>
      </c>
      <c r="F8" s="33"/>
      <c r="G8" s="41" t="str">
        <f t="shared" si="20"/>
        <v/>
      </c>
      <c r="H8" s="52" t="str">
        <f t="shared" si="20"/>
        <v/>
      </c>
      <c r="I8" s="53" t="str">
        <f t="shared" si="20"/>
        <v/>
      </c>
      <c r="J8" s="42" t="str">
        <f t="shared" si="20"/>
        <v/>
      </c>
      <c r="K8" s="42" t="str">
        <f t="shared" si="20"/>
        <v/>
      </c>
      <c r="L8" s="42" t="str">
        <f t="shared" si="20"/>
        <v/>
      </c>
      <c r="M8" s="42" t="str">
        <f t="shared" si="20"/>
        <v/>
      </c>
      <c r="N8" s="42" t="str">
        <f t="shared" si="20"/>
        <v/>
      </c>
      <c r="O8" s="42" t="str">
        <f t="shared" si="20"/>
        <v/>
      </c>
      <c r="P8" s="42" t="str">
        <f t="shared" si="20"/>
        <v/>
      </c>
      <c r="Q8" s="42" t="str">
        <f t="shared" si="20"/>
        <v/>
      </c>
      <c r="R8" s="42" t="str">
        <f t="shared" si="20"/>
        <v/>
      </c>
      <c r="S8" s="42" t="str">
        <f t="shared" si="20"/>
        <v/>
      </c>
      <c r="T8" s="42" t="str">
        <f t="shared" si="20"/>
        <v/>
      </c>
      <c r="U8" s="42" t="str">
        <f t="shared" si="20"/>
        <v/>
      </c>
      <c r="V8" s="42" t="str">
        <f t="shared" si="20"/>
        <v/>
      </c>
      <c r="W8" s="42" t="str">
        <f t="shared" ref="Q8:AM20" si="22">IF(AND($C8="Goal",W$4&gt;=$D8,W$4&lt;=$D8+$E8-1),2,IF(AND($C8="Milestone",W$4&gt;=$D8,W$4&lt;=$D8+$E8-1),1,""))</f>
        <v/>
      </c>
      <c r="X8" s="42" t="str">
        <f t="shared" si="22"/>
        <v/>
      </c>
      <c r="Y8" s="42" t="str">
        <f t="shared" si="22"/>
        <v/>
      </c>
      <c r="Z8" s="42" t="str">
        <f t="shared" si="22"/>
        <v/>
      </c>
      <c r="AA8" s="42" t="str">
        <f t="shared" si="22"/>
        <v/>
      </c>
      <c r="AB8" s="42" t="str">
        <f t="shared" si="22"/>
        <v/>
      </c>
      <c r="AC8" s="42" t="str">
        <f t="shared" si="22"/>
        <v/>
      </c>
      <c r="AD8" s="42" t="str">
        <f t="shared" si="22"/>
        <v/>
      </c>
      <c r="AE8" s="42" t="str">
        <f t="shared" si="22"/>
        <v/>
      </c>
      <c r="AF8" s="42" t="str">
        <f t="shared" si="22"/>
        <v/>
      </c>
      <c r="AG8" s="42" t="str">
        <f t="shared" si="22"/>
        <v/>
      </c>
      <c r="AH8" s="42" t="str">
        <f t="shared" si="22"/>
        <v/>
      </c>
      <c r="AI8" s="42" t="str">
        <f t="shared" ref="AH8:AY20" si="23">IF(AND($C8="Goal",AI$4&gt;=$D8,AI$4&lt;=$D8+$E8-1),2,IF(AND($C8="Milestone",AI$4&gt;=$D8,AI$4&lt;=$D8+$E8-1),1,""))</f>
        <v/>
      </c>
      <c r="AJ8" s="42" t="str">
        <f t="shared" si="23"/>
        <v/>
      </c>
      <c r="AK8" s="42" t="str">
        <f t="shared" si="23"/>
        <v/>
      </c>
      <c r="AL8" s="42" t="str">
        <f t="shared" si="23"/>
        <v/>
      </c>
      <c r="AM8" s="42" t="str">
        <f t="shared" si="23"/>
        <v/>
      </c>
      <c r="AN8" s="42" t="str">
        <f t="shared" si="23"/>
        <v/>
      </c>
      <c r="AO8" s="42" t="str">
        <f t="shared" si="23"/>
        <v/>
      </c>
      <c r="AP8" s="42" t="str">
        <f t="shared" si="23"/>
        <v/>
      </c>
      <c r="AQ8" s="42" t="str">
        <f t="shared" si="23"/>
        <v/>
      </c>
      <c r="AR8" s="42" t="str">
        <f t="shared" si="23"/>
        <v/>
      </c>
      <c r="AS8" s="42" t="str">
        <f t="shared" si="23"/>
        <v/>
      </c>
      <c r="AT8" s="42" t="str">
        <f t="shared" si="23"/>
        <v/>
      </c>
      <c r="AU8" s="42" t="str">
        <f t="shared" si="23"/>
        <v/>
      </c>
      <c r="AV8" s="42" t="str">
        <f t="shared" si="23"/>
        <v/>
      </c>
      <c r="AW8" s="42" t="str">
        <f t="shared" si="23"/>
        <v/>
      </c>
      <c r="AX8" s="42" t="str">
        <f t="shared" si="23"/>
        <v/>
      </c>
      <c r="AY8" s="42" t="str">
        <f t="shared" si="23"/>
        <v/>
      </c>
    </row>
    <row r="9" spans="1:51" ht="45" customHeight="1" x14ac:dyDescent="0.2">
      <c r="B9" s="29" t="s">
        <v>8</v>
      </c>
      <c r="C9" s="30" t="s">
        <v>20</v>
      </c>
      <c r="D9" s="31">
        <v>46062</v>
      </c>
      <c r="E9" s="32">
        <v>1</v>
      </c>
      <c r="F9" s="33"/>
      <c r="G9" s="34" t="str">
        <f t="shared" si="20"/>
        <v/>
      </c>
      <c r="H9" s="35" t="str">
        <f t="shared" si="20"/>
        <v/>
      </c>
      <c r="I9" s="36" t="str">
        <f t="shared" si="20"/>
        <v/>
      </c>
      <c r="J9" s="35" t="str">
        <f t="shared" si="20"/>
        <v/>
      </c>
      <c r="K9" s="35" t="str">
        <f t="shared" si="20"/>
        <v/>
      </c>
      <c r="L9" s="52" t="str">
        <f t="shared" si="20"/>
        <v/>
      </c>
      <c r="M9" s="35" t="str">
        <f t="shared" si="20"/>
        <v/>
      </c>
      <c r="N9" s="35" t="str">
        <f t="shared" si="20"/>
        <v/>
      </c>
      <c r="O9" s="35" t="str">
        <f t="shared" si="20"/>
        <v/>
      </c>
      <c r="P9" s="35" t="str">
        <f t="shared" si="20"/>
        <v/>
      </c>
      <c r="Q9" s="35" t="str">
        <f t="shared" si="20"/>
        <v/>
      </c>
      <c r="R9" s="35" t="str">
        <f t="shared" si="20"/>
        <v/>
      </c>
      <c r="S9" s="35" t="str">
        <f t="shared" si="20"/>
        <v/>
      </c>
      <c r="T9" s="35" t="str">
        <f t="shared" si="20"/>
        <v/>
      </c>
      <c r="U9" s="35" t="str">
        <f t="shared" si="20"/>
        <v/>
      </c>
      <c r="V9" s="35" t="str">
        <f t="shared" si="20"/>
        <v/>
      </c>
      <c r="W9" s="35" t="str">
        <f t="shared" si="22"/>
        <v/>
      </c>
      <c r="X9" s="35" t="str">
        <f t="shared" si="22"/>
        <v/>
      </c>
      <c r="Y9" s="35" t="str">
        <f t="shared" si="22"/>
        <v/>
      </c>
      <c r="Z9" s="35" t="str">
        <f t="shared" si="22"/>
        <v/>
      </c>
      <c r="AA9" s="35" t="str">
        <f t="shared" si="22"/>
        <v/>
      </c>
      <c r="AB9" s="35" t="str">
        <f t="shared" si="22"/>
        <v/>
      </c>
      <c r="AC9" s="35" t="str">
        <f t="shared" si="22"/>
        <v/>
      </c>
      <c r="AD9" s="35" t="str">
        <f t="shared" si="22"/>
        <v/>
      </c>
      <c r="AE9" s="35" t="str">
        <f t="shared" si="22"/>
        <v/>
      </c>
      <c r="AF9" s="35" t="str">
        <f t="shared" si="22"/>
        <v/>
      </c>
      <c r="AG9" s="35" t="str">
        <f t="shared" si="22"/>
        <v/>
      </c>
      <c r="AH9" s="35" t="str">
        <f t="shared" si="22"/>
        <v/>
      </c>
      <c r="AI9" s="35" t="str">
        <f t="shared" si="23"/>
        <v/>
      </c>
      <c r="AJ9" s="35" t="str">
        <f t="shared" si="23"/>
        <v/>
      </c>
      <c r="AK9" s="35" t="str">
        <f t="shared" si="23"/>
        <v/>
      </c>
      <c r="AL9" s="35" t="str">
        <f t="shared" si="23"/>
        <v/>
      </c>
      <c r="AM9" s="35" t="str">
        <f t="shared" si="23"/>
        <v/>
      </c>
      <c r="AN9" s="35" t="str">
        <f t="shared" si="23"/>
        <v/>
      </c>
      <c r="AO9" s="35" t="str">
        <f t="shared" si="23"/>
        <v/>
      </c>
      <c r="AP9" s="35" t="str">
        <f t="shared" si="23"/>
        <v/>
      </c>
      <c r="AQ9" s="35" t="str">
        <f t="shared" si="23"/>
        <v/>
      </c>
      <c r="AR9" s="35" t="str">
        <f t="shared" si="23"/>
        <v/>
      </c>
      <c r="AS9" s="35" t="str">
        <f t="shared" si="23"/>
        <v/>
      </c>
      <c r="AT9" s="35" t="str">
        <f t="shared" si="23"/>
        <v/>
      </c>
      <c r="AU9" s="35" t="str">
        <f t="shared" si="23"/>
        <v/>
      </c>
      <c r="AV9" s="35" t="str">
        <f t="shared" si="23"/>
        <v/>
      </c>
      <c r="AW9" s="35" t="str">
        <f t="shared" si="23"/>
        <v/>
      </c>
      <c r="AX9" s="35" t="str">
        <f t="shared" si="23"/>
        <v/>
      </c>
      <c r="AY9" s="35" t="str">
        <f t="shared" si="23"/>
        <v/>
      </c>
    </row>
    <row r="10" spans="1:51" ht="45" customHeight="1" x14ac:dyDescent="0.2">
      <c r="B10" s="38" t="s">
        <v>9</v>
      </c>
      <c r="C10" s="54" t="s">
        <v>20</v>
      </c>
      <c r="D10" s="46">
        <v>46063</v>
      </c>
      <c r="E10" s="40">
        <v>2</v>
      </c>
      <c r="F10" s="33"/>
      <c r="G10" s="42" t="str">
        <f t="shared" si="20"/>
        <v/>
      </c>
      <c r="H10" s="42" t="str">
        <f t="shared" si="20"/>
        <v/>
      </c>
      <c r="I10" s="42" t="str">
        <f t="shared" si="20"/>
        <v/>
      </c>
      <c r="J10" s="42" t="str">
        <f t="shared" si="20"/>
        <v/>
      </c>
      <c r="K10" s="42" t="str">
        <f t="shared" si="20"/>
        <v/>
      </c>
      <c r="L10" s="42" t="str">
        <f t="shared" si="20"/>
        <v/>
      </c>
      <c r="M10" s="52" t="str">
        <f t="shared" si="20"/>
        <v/>
      </c>
      <c r="N10" s="52" t="str">
        <f t="shared" si="20"/>
        <v/>
      </c>
      <c r="O10" s="42" t="str">
        <f t="shared" si="20"/>
        <v/>
      </c>
      <c r="P10" s="42" t="str">
        <f t="shared" si="20"/>
        <v/>
      </c>
      <c r="Q10" s="42" t="str">
        <f t="shared" si="20"/>
        <v/>
      </c>
      <c r="R10" s="42" t="str">
        <f t="shared" si="20"/>
        <v/>
      </c>
      <c r="S10" s="42" t="str">
        <f t="shared" si="20"/>
        <v/>
      </c>
      <c r="T10" s="42" t="str">
        <f t="shared" si="20"/>
        <v/>
      </c>
      <c r="U10" s="42" t="str">
        <f t="shared" si="20"/>
        <v/>
      </c>
      <c r="V10" s="42" t="str">
        <f t="shared" si="20"/>
        <v/>
      </c>
      <c r="W10" s="42" t="str">
        <f t="shared" si="22"/>
        <v/>
      </c>
      <c r="X10" s="42" t="str">
        <f t="shared" si="22"/>
        <v/>
      </c>
      <c r="Y10" s="42" t="str">
        <f t="shared" si="22"/>
        <v/>
      </c>
      <c r="Z10" s="42" t="str">
        <f t="shared" si="22"/>
        <v/>
      </c>
      <c r="AA10" s="42" t="str">
        <f t="shared" si="22"/>
        <v/>
      </c>
      <c r="AB10" s="42" t="str">
        <f t="shared" si="22"/>
        <v/>
      </c>
      <c r="AC10" s="42" t="str">
        <f t="shared" si="22"/>
        <v/>
      </c>
      <c r="AD10" s="42" t="str">
        <f t="shared" si="22"/>
        <v/>
      </c>
      <c r="AE10" s="42" t="str">
        <f t="shared" si="22"/>
        <v/>
      </c>
      <c r="AF10" s="42" t="str">
        <f t="shared" si="22"/>
        <v/>
      </c>
      <c r="AG10" s="42" t="str">
        <f t="shared" si="22"/>
        <v/>
      </c>
      <c r="AH10" s="42" t="str">
        <f t="shared" si="22"/>
        <v/>
      </c>
      <c r="AI10" s="42" t="str">
        <f t="shared" si="23"/>
        <v/>
      </c>
      <c r="AJ10" s="42" t="str">
        <f t="shared" si="23"/>
        <v/>
      </c>
      <c r="AK10" s="42" t="str">
        <f t="shared" si="23"/>
        <v/>
      </c>
      <c r="AL10" s="42" t="str">
        <f t="shared" si="23"/>
        <v/>
      </c>
      <c r="AM10" s="42" t="str">
        <f t="shared" si="23"/>
        <v/>
      </c>
      <c r="AN10" s="42" t="str">
        <f t="shared" si="23"/>
        <v/>
      </c>
      <c r="AO10" s="42" t="str">
        <f t="shared" si="23"/>
        <v/>
      </c>
      <c r="AP10" s="42" t="str">
        <f t="shared" si="23"/>
        <v/>
      </c>
      <c r="AQ10" s="42" t="str">
        <f t="shared" si="23"/>
        <v/>
      </c>
      <c r="AR10" s="42" t="str">
        <f t="shared" si="23"/>
        <v/>
      </c>
      <c r="AS10" s="42" t="str">
        <f t="shared" si="23"/>
        <v/>
      </c>
      <c r="AT10" s="42" t="str">
        <f t="shared" si="23"/>
        <v/>
      </c>
      <c r="AU10" s="42" t="str">
        <f t="shared" si="23"/>
        <v/>
      </c>
      <c r="AV10" s="42" t="str">
        <f t="shared" si="23"/>
        <v/>
      </c>
      <c r="AW10" s="42" t="str">
        <f t="shared" si="23"/>
        <v/>
      </c>
      <c r="AX10" s="42" t="str">
        <f t="shared" si="23"/>
        <v/>
      </c>
      <c r="AY10" s="42" t="str">
        <f t="shared" si="23"/>
        <v/>
      </c>
    </row>
    <row r="11" spans="1:51" ht="45" customHeight="1" x14ac:dyDescent="0.2">
      <c r="B11" s="29" t="s">
        <v>11</v>
      </c>
      <c r="C11" s="30" t="s">
        <v>21</v>
      </c>
      <c r="D11" s="31">
        <v>46069</v>
      </c>
      <c r="E11" s="32">
        <v>2</v>
      </c>
      <c r="F11" s="33"/>
      <c r="G11" s="34" t="str">
        <f t="shared" si="20"/>
        <v/>
      </c>
      <c r="H11" s="35" t="str">
        <f t="shared" si="20"/>
        <v/>
      </c>
      <c r="I11" s="36" t="str">
        <f t="shared" si="20"/>
        <v/>
      </c>
      <c r="J11" s="35" t="str">
        <f t="shared" si="20"/>
        <v/>
      </c>
      <c r="K11" s="35" t="str">
        <f t="shared" si="20"/>
        <v/>
      </c>
      <c r="L11" s="35" t="str">
        <f t="shared" si="20"/>
        <v/>
      </c>
      <c r="M11" s="35" t="str">
        <f t="shared" si="20"/>
        <v/>
      </c>
      <c r="N11" s="35" t="str">
        <f t="shared" si="20"/>
        <v/>
      </c>
      <c r="O11" s="35" t="str">
        <f t="shared" si="20"/>
        <v/>
      </c>
      <c r="P11" s="35" t="str">
        <f t="shared" si="20"/>
        <v/>
      </c>
      <c r="Q11" s="52" t="str">
        <f t="shared" si="22"/>
        <v/>
      </c>
      <c r="R11" s="35" t="str">
        <f t="shared" si="22"/>
        <v/>
      </c>
      <c r="S11" s="35" t="str">
        <f t="shared" si="22"/>
        <v/>
      </c>
      <c r="T11" s="35" t="str">
        <f t="shared" si="22"/>
        <v/>
      </c>
      <c r="U11" s="35" t="str">
        <f t="shared" si="22"/>
        <v/>
      </c>
      <c r="V11" s="35" t="str">
        <f t="shared" si="22"/>
        <v/>
      </c>
      <c r="W11" s="35" t="str">
        <f t="shared" si="22"/>
        <v/>
      </c>
      <c r="X11" s="52" t="str">
        <f t="shared" si="22"/>
        <v/>
      </c>
      <c r="Y11" s="34" t="str">
        <f t="shared" si="22"/>
        <v/>
      </c>
      <c r="Z11" s="35" t="str">
        <f t="shared" si="22"/>
        <v/>
      </c>
      <c r="AA11" s="36" t="str">
        <f t="shared" si="22"/>
        <v/>
      </c>
      <c r="AB11" s="35" t="str">
        <f t="shared" si="22"/>
        <v/>
      </c>
      <c r="AC11" s="35" t="str">
        <f t="shared" si="22"/>
        <v/>
      </c>
      <c r="AD11" s="36" t="str">
        <f t="shared" si="22"/>
        <v/>
      </c>
      <c r="AE11" s="35" t="str">
        <f t="shared" si="22"/>
        <v/>
      </c>
      <c r="AF11" s="35" t="str">
        <f t="shared" si="22"/>
        <v/>
      </c>
      <c r="AG11" s="35" t="str">
        <f t="shared" si="22"/>
        <v/>
      </c>
      <c r="AH11" s="34" t="str">
        <f t="shared" si="23"/>
        <v/>
      </c>
      <c r="AI11" s="35" t="str">
        <f t="shared" si="23"/>
        <v/>
      </c>
      <c r="AJ11" s="36" t="str">
        <f t="shared" si="23"/>
        <v/>
      </c>
      <c r="AK11" s="35" t="str">
        <f t="shared" si="23"/>
        <v/>
      </c>
      <c r="AL11" s="35" t="str">
        <f t="shared" si="23"/>
        <v/>
      </c>
      <c r="AM11" s="35" t="str">
        <f t="shared" si="23"/>
        <v/>
      </c>
      <c r="AN11" s="35" t="str">
        <f t="shared" si="23"/>
        <v/>
      </c>
      <c r="AO11" s="35" t="str">
        <f t="shared" si="23"/>
        <v/>
      </c>
      <c r="AP11" s="35" t="str">
        <f t="shared" si="23"/>
        <v/>
      </c>
      <c r="AQ11" s="34" t="str">
        <f t="shared" si="23"/>
        <v/>
      </c>
      <c r="AR11" s="35" t="str">
        <f t="shared" si="23"/>
        <v/>
      </c>
      <c r="AS11" s="36" t="str">
        <f t="shared" si="23"/>
        <v/>
      </c>
      <c r="AT11" s="35" t="str">
        <f t="shared" si="23"/>
        <v/>
      </c>
      <c r="AU11" s="35" t="str">
        <f t="shared" si="23"/>
        <v/>
      </c>
      <c r="AV11" s="35" t="str">
        <f t="shared" si="23"/>
        <v/>
      </c>
      <c r="AW11" s="35" t="str">
        <f t="shared" si="23"/>
        <v/>
      </c>
      <c r="AX11" s="35" t="str">
        <f t="shared" si="23"/>
        <v/>
      </c>
      <c r="AY11" s="36" t="str">
        <f t="shared" ref="AY11:AY20" si="24">IF(AND($C11="Goal",AY$4&gt;=$D11,AY$4&lt;=$D11+$E11-1),2,IF(AND($C11="Milestone",AY$4&gt;=$D11,AY$4&lt;=$D11+$E11-1),1,""))</f>
        <v/>
      </c>
    </row>
    <row r="12" spans="1:51" ht="45" customHeight="1" x14ac:dyDescent="0.2">
      <c r="B12" s="38" t="s">
        <v>10</v>
      </c>
      <c r="C12" s="54" t="s">
        <v>21</v>
      </c>
      <c r="D12" s="46">
        <v>46069</v>
      </c>
      <c r="E12" s="40">
        <v>2</v>
      </c>
      <c r="F12" s="33"/>
      <c r="G12" s="42" t="str">
        <f t="shared" si="20"/>
        <v/>
      </c>
      <c r="H12" s="42" t="str">
        <f t="shared" si="20"/>
        <v/>
      </c>
      <c r="I12" s="42" t="str">
        <f t="shared" si="20"/>
        <v/>
      </c>
      <c r="J12" s="42" t="str">
        <f t="shared" si="20"/>
        <v/>
      </c>
      <c r="K12" s="42" t="str">
        <f t="shared" si="20"/>
        <v/>
      </c>
      <c r="L12" s="42" t="str">
        <f t="shared" si="20"/>
        <v/>
      </c>
      <c r="M12" s="42" t="str">
        <f t="shared" si="20"/>
        <v/>
      </c>
      <c r="N12" s="42" t="str">
        <f t="shared" si="20"/>
        <v/>
      </c>
      <c r="O12" s="42" t="str">
        <f t="shared" si="20"/>
        <v/>
      </c>
      <c r="P12" s="42" t="str">
        <f t="shared" si="20"/>
        <v/>
      </c>
      <c r="Q12" s="52" t="str">
        <f t="shared" si="20"/>
        <v/>
      </c>
      <c r="R12" s="52" t="str">
        <f t="shared" si="20"/>
        <v/>
      </c>
      <c r="S12" s="42" t="str">
        <f t="shared" si="20"/>
        <v/>
      </c>
      <c r="T12" s="42" t="str">
        <f t="shared" si="20"/>
        <v/>
      </c>
      <c r="U12" s="42" t="str">
        <f t="shared" si="20"/>
        <v/>
      </c>
      <c r="V12" s="42" t="str">
        <f t="shared" si="20"/>
        <v/>
      </c>
      <c r="W12" s="42" t="str">
        <f t="shared" si="22"/>
        <v/>
      </c>
      <c r="X12" s="42" t="str">
        <f t="shared" si="22"/>
        <v/>
      </c>
      <c r="Y12" s="42" t="str">
        <f t="shared" si="22"/>
        <v/>
      </c>
      <c r="Z12" s="42" t="str">
        <f t="shared" si="22"/>
        <v/>
      </c>
      <c r="AA12" s="42" t="str">
        <f t="shared" si="22"/>
        <v/>
      </c>
      <c r="AB12" s="42" t="str">
        <f t="shared" si="22"/>
        <v/>
      </c>
      <c r="AC12" s="42" t="str">
        <f t="shared" si="22"/>
        <v/>
      </c>
      <c r="AD12" s="42" t="str">
        <f t="shared" si="22"/>
        <v/>
      </c>
      <c r="AE12" s="42" t="str">
        <f t="shared" si="22"/>
        <v/>
      </c>
      <c r="AF12" s="42" t="str">
        <f t="shared" si="22"/>
        <v/>
      </c>
      <c r="AG12" s="42" t="str">
        <f t="shared" si="22"/>
        <v/>
      </c>
      <c r="AH12" s="42" t="str">
        <f t="shared" si="22"/>
        <v/>
      </c>
      <c r="AI12" s="42" t="str">
        <f t="shared" si="23"/>
        <v/>
      </c>
      <c r="AJ12" s="42" t="str">
        <f t="shared" si="23"/>
        <v/>
      </c>
      <c r="AK12" s="42" t="str">
        <f t="shared" si="23"/>
        <v/>
      </c>
      <c r="AL12" s="42" t="str">
        <f t="shared" si="23"/>
        <v/>
      </c>
      <c r="AM12" s="42" t="str">
        <f t="shared" si="23"/>
        <v/>
      </c>
      <c r="AN12" s="42" t="str">
        <f t="shared" si="23"/>
        <v/>
      </c>
      <c r="AO12" s="42" t="str">
        <f t="shared" si="23"/>
        <v/>
      </c>
      <c r="AP12" s="42" t="str">
        <f t="shared" si="23"/>
        <v/>
      </c>
      <c r="AQ12" s="42" t="str">
        <f t="shared" si="23"/>
        <v/>
      </c>
      <c r="AR12" s="42" t="str">
        <f t="shared" si="23"/>
        <v/>
      </c>
      <c r="AS12" s="42" t="str">
        <f t="shared" si="23"/>
        <v/>
      </c>
      <c r="AT12" s="42" t="str">
        <f t="shared" si="23"/>
        <v/>
      </c>
      <c r="AU12" s="42" t="str">
        <f t="shared" si="23"/>
        <v/>
      </c>
      <c r="AV12" s="42" t="str">
        <f t="shared" si="23"/>
        <v/>
      </c>
      <c r="AW12" s="42" t="str">
        <f t="shared" si="23"/>
        <v/>
      </c>
      <c r="AX12" s="42" t="str">
        <f t="shared" si="23"/>
        <v/>
      </c>
      <c r="AY12" s="42" t="str">
        <f t="shared" si="23"/>
        <v/>
      </c>
    </row>
    <row r="13" spans="1:51" ht="45" customHeight="1" x14ac:dyDescent="0.2">
      <c r="B13" s="29" t="s">
        <v>12</v>
      </c>
      <c r="C13" s="44" t="s">
        <v>21</v>
      </c>
      <c r="D13" s="31">
        <v>46071</v>
      </c>
      <c r="E13" s="32">
        <v>4</v>
      </c>
      <c r="F13" s="33"/>
      <c r="G13" s="34" t="str">
        <f t="shared" si="20"/>
        <v/>
      </c>
      <c r="H13" s="35" t="str">
        <f t="shared" si="20"/>
        <v/>
      </c>
      <c r="I13" s="36" t="str">
        <f t="shared" si="20"/>
        <v/>
      </c>
      <c r="J13" s="35" t="str">
        <f t="shared" si="20"/>
        <v/>
      </c>
      <c r="K13" s="35" t="str">
        <f t="shared" si="20"/>
        <v/>
      </c>
      <c r="L13" s="35" t="str">
        <f t="shared" si="20"/>
        <v/>
      </c>
      <c r="M13" s="35" t="str">
        <f t="shared" si="20"/>
        <v/>
      </c>
      <c r="N13" s="35" t="str">
        <f t="shared" si="20"/>
        <v/>
      </c>
      <c r="O13" s="35" t="str">
        <f t="shared" si="20"/>
        <v/>
      </c>
      <c r="P13" s="35" t="str">
        <f t="shared" si="20"/>
        <v/>
      </c>
      <c r="Q13" s="35" t="str">
        <f t="shared" si="22"/>
        <v/>
      </c>
      <c r="R13" s="35" t="str">
        <f t="shared" si="22"/>
        <v/>
      </c>
      <c r="S13" s="52" t="str">
        <f t="shared" si="22"/>
        <v/>
      </c>
      <c r="T13" s="35" t="str">
        <f t="shared" si="22"/>
        <v/>
      </c>
      <c r="U13" s="35" t="str">
        <f t="shared" si="22"/>
        <v/>
      </c>
      <c r="V13" s="53" t="str">
        <f t="shared" si="22"/>
        <v/>
      </c>
      <c r="W13" s="52" t="str">
        <f t="shared" si="22"/>
        <v/>
      </c>
      <c r="X13" s="52" t="str">
        <f t="shared" si="22"/>
        <v/>
      </c>
      <c r="Y13" s="34" t="str">
        <f t="shared" si="22"/>
        <v/>
      </c>
      <c r="Z13" s="35" t="str">
        <f t="shared" si="22"/>
        <v/>
      </c>
      <c r="AA13" s="35" t="str">
        <f t="shared" si="22"/>
        <v/>
      </c>
      <c r="AB13" s="36" t="str">
        <f t="shared" si="22"/>
        <v/>
      </c>
      <c r="AC13" s="35" t="str">
        <f t="shared" si="22"/>
        <v/>
      </c>
      <c r="AD13" s="36" t="str">
        <f t="shared" si="22"/>
        <v/>
      </c>
      <c r="AE13" s="35" t="str">
        <f t="shared" si="22"/>
        <v/>
      </c>
      <c r="AF13" s="35" t="str">
        <f t="shared" si="22"/>
        <v/>
      </c>
      <c r="AG13" s="35" t="str">
        <f t="shared" si="22"/>
        <v/>
      </c>
      <c r="AH13" s="34" t="str">
        <f t="shared" si="23"/>
        <v/>
      </c>
      <c r="AI13" s="35" t="str">
        <f t="shared" si="23"/>
        <v/>
      </c>
      <c r="AJ13" s="36" t="str">
        <f t="shared" si="23"/>
        <v/>
      </c>
      <c r="AK13" s="35" t="str">
        <f t="shared" si="23"/>
        <v/>
      </c>
      <c r="AL13" s="35" t="str">
        <f t="shared" si="23"/>
        <v/>
      </c>
      <c r="AM13" s="35" t="str">
        <f t="shared" si="23"/>
        <v/>
      </c>
      <c r="AN13" s="35" t="str">
        <f t="shared" si="23"/>
        <v/>
      </c>
      <c r="AO13" s="35" t="str">
        <f t="shared" si="23"/>
        <v/>
      </c>
      <c r="AP13" s="35" t="str">
        <f t="shared" si="23"/>
        <v/>
      </c>
      <c r="AQ13" s="34" t="str">
        <f t="shared" si="23"/>
        <v/>
      </c>
      <c r="AR13" s="35" t="str">
        <f t="shared" si="23"/>
        <v/>
      </c>
      <c r="AS13" s="36" t="str">
        <f t="shared" si="23"/>
        <v/>
      </c>
      <c r="AT13" s="35" t="str">
        <f t="shared" si="23"/>
        <v/>
      </c>
      <c r="AU13" s="35" t="str">
        <f t="shared" si="23"/>
        <v/>
      </c>
      <c r="AV13" s="35" t="str">
        <f t="shared" si="23"/>
        <v/>
      </c>
      <c r="AW13" s="35" t="str">
        <f t="shared" si="23"/>
        <v/>
      </c>
      <c r="AX13" s="35" t="str">
        <f t="shared" si="23"/>
        <v/>
      </c>
      <c r="AY13" s="36" t="str">
        <f t="shared" si="24"/>
        <v/>
      </c>
    </row>
    <row r="14" spans="1:51" ht="45" customHeight="1" x14ac:dyDescent="0.2">
      <c r="B14" s="38" t="s">
        <v>13</v>
      </c>
      <c r="C14" s="39" t="s">
        <v>21</v>
      </c>
      <c r="D14" s="46">
        <v>46083</v>
      </c>
      <c r="E14" s="40">
        <v>2</v>
      </c>
      <c r="F14" s="33"/>
      <c r="G14" s="42" t="str">
        <f t="shared" si="20"/>
        <v/>
      </c>
      <c r="H14" s="42" t="str">
        <f t="shared" si="20"/>
        <v/>
      </c>
      <c r="I14" s="42" t="str">
        <f t="shared" si="20"/>
        <v/>
      </c>
      <c r="J14" s="42" t="str">
        <f t="shared" si="20"/>
        <v/>
      </c>
      <c r="K14" s="42" t="str">
        <f t="shared" si="20"/>
        <v/>
      </c>
      <c r="L14" s="42" t="str">
        <f t="shared" si="20"/>
        <v/>
      </c>
      <c r="M14" s="42" t="str">
        <f t="shared" si="20"/>
        <v/>
      </c>
      <c r="N14" s="42" t="str">
        <f t="shared" si="20"/>
        <v/>
      </c>
      <c r="O14" s="42" t="str">
        <f t="shared" si="20"/>
        <v/>
      </c>
      <c r="P14" s="42" t="str">
        <f t="shared" si="20"/>
        <v/>
      </c>
      <c r="Q14" s="42" t="str">
        <f t="shared" si="20"/>
        <v/>
      </c>
      <c r="R14" s="42" t="str">
        <f t="shared" si="20"/>
        <v/>
      </c>
      <c r="S14" s="42" t="str">
        <f t="shared" si="20"/>
        <v/>
      </c>
      <c r="T14" s="42" t="str">
        <f t="shared" si="20"/>
        <v/>
      </c>
      <c r="U14" s="42" t="str">
        <f t="shared" si="20"/>
        <v/>
      </c>
      <c r="V14" s="42" t="str">
        <f t="shared" si="20"/>
        <v/>
      </c>
      <c r="W14" s="42" t="str">
        <f t="shared" si="22"/>
        <v/>
      </c>
      <c r="X14" s="42" t="str">
        <f t="shared" si="22"/>
        <v/>
      </c>
      <c r="Y14" s="42" t="str">
        <f t="shared" si="22"/>
        <v/>
      </c>
      <c r="Z14" s="42" t="str">
        <f t="shared" si="22"/>
        <v/>
      </c>
      <c r="AA14" s="52" t="str">
        <f t="shared" si="22"/>
        <v/>
      </c>
      <c r="AB14" s="52" t="str">
        <f t="shared" si="22"/>
        <v/>
      </c>
      <c r="AC14" s="42" t="str">
        <f t="shared" si="22"/>
        <v/>
      </c>
      <c r="AD14" s="42" t="str">
        <f t="shared" si="22"/>
        <v/>
      </c>
      <c r="AE14" s="42" t="str">
        <f t="shared" si="22"/>
        <v/>
      </c>
      <c r="AF14" s="42" t="str">
        <f t="shared" si="22"/>
        <v/>
      </c>
      <c r="AG14" s="42" t="str">
        <f t="shared" si="22"/>
        <v/>
      </c>
      <c r="AH14" s="42" t="str">
        <f t="shared" si="22"/>
        <v/>
      </c>
      <c r="AI14" s="42" t="str">
        <f t="shared" si="23"/>
        <v/>
      </c>
      <c r="AJ14" s="42" t="str">
        <f t="shared" si="23"/>
        <v/>
      </c>
      <c r="AK14" s="42" t="str">
        <f t="shared" ref="AK14:AY14" si="25">IF(AND($C14="Goal",AK$4&gt;=$D14,AK$4&lt;=$D14+$E14-1),2,IF(AND($C14="Milestone",AK$4&gt;=$D14,AK$4&lt;=$D14+$E14-1),1,""))</f>
        <v/>
      </c>
      <c r="AL14" s="42" t="str">
        <f t="shared" si="25"/>
        <v/>
      </c>
      <c r="AM14" s="42" t="str">
        <f t="shared" si="25"/>
        <v/>
      </c>
      <c r="AN14" s="42" t="str">
        <f t="shared" si="25"/>
        <v/>
      </c>
      <c r="AO14" s="42" t="str">
        <f t="shared" si="25"/>
        <v/>
      </c>
      <c r="AP14" s="42" t="str">
        <f t="shared" si="25"/>
        <v/>
      </c>
      <c r="AQ14" s="42" t="str">
        <f t="shared" si="25"/>
        <v/>
      </c>
      <c r="AR14" s="42" t="str">
        <f t="shared" si="25"/>
        <v/>
      </c>
      <c r="AS14" s="42" t="str">
        <f t="shared" si="25"/>
        <v/>
      </c>
      <c r="AT14" s="42" t="str">
        <f t="shared" si="25"/>
        <v/>
      </c>
      <c r="AU14" s="42" t="str">
        <f t="shared" si="25"/>
        <v/>
      </c>
      <c r="AV14" s="42" t="str">
        <f t="shared" si="25"/>
        <v/>
      </c>
      <c r="AW14" s="42" t="str">
        <f t="shared" si="25"/>
        <v/>
      </c>
      <c r="AX14" s="42" t="str">
        <f t="shared" si="25"/>
        <v/>
      </c>
      <c r="AY14" s="42" t="str">
        <f t="shared" si="25"/>
        <v/>
      </c>
    </row>
    <row r="15" spans="1:51" ht="45" customHeight="1" x14ac:dyDescent="0.2">
      <c r="B15" s="29" t="s">
        <v>14</v>
      </c>
      <c r="C15" s="30" t="s">
        <v>20</v>
      </c>
      <c r="D15" s="31">
        <v>46084</v>
      </c>
      <c r="E15" s="32">
        <v>1</v>
      </c>
      <c r="F15" s="33"/>
      <c r="G15" s="34" t="str">
        <f t="shared" si="20"/>
        <v/>
      </c>
      <c r="H15" s="35" t="str">
        <f t="shared" si="20"/>
        <v/>
      </c>
      <c r="I15" s="36" t="str">
        <f t="shared" si="20"/>
        <v/>
      </c>
      <c r="J15" s="35" t="str">
        <f t="shared" si="20"/>
        <v/>
      </c>
      <c r="K15" s="35" t="str">
        <f t="shared" si="20"/>
        <v/>
      </c>
      <c r="L15" s="35" t="str">
        <f t="shared" si="20"/>
        <v/>
      </c>
      <c r="M15" s="35" t="str">
        <f t="shared" si="20"/>
        <v/>
      </c>
      <c r="N15" s="35" t="str">
        <f t="shared" si="20"/>
        <v/>
      </c>
      <c r="O15" s="35" t="str">
        <f t="shared" si="20"/>
        <v/>
      </c>
      <c r="P15" s="35" t="str">
        <f t="shared" si="20"/>
        <v/>
      </c>
      <c r="Q15" s="35" t="str">
        <f t="shared" si="22"/>
        <v/>
      </c>
      <c r="R15" s="35" t="str">
        <f t="shared" si="22"/>
        <v/>
      </c>
      <c r="S15" s="35" t="str">
        <f t="shared" si="22"/>
        <v/>
      </c>
      <c r="T15" s="35" t="str">
        <f t="shared" si="22"/>
        <v/>
      </c>
      <c r="U15" s="35" t="str">
        <f t="shared" si="22"/>
        <v/>
      </c>
      <c r="V15" s="35" t="str">
        <f t="shared" si="22"/>
        <v/>
      </c>
      <c r="W15" s="35" t="str">
        <f t="shared" si="22"/>
        <v/>
      </c>
      <c r="X15" s="35" t="str">
        <f t="shared" si="22"/>
        <v/>
      </c>
      <c r="Y15" s="34" t="str">
        <f t="shared" si="22"/>
        <v/>
      </c>
      <c r="Z15" s="35" t="str">
        <f t="shared" si="22"/>
        <v/>
      </c>
      <c r="AA15" s="36" t="str">
        <f t="shared" si="22"/>
        <v/>
      </c>
      <c r="AB15" s="52" t="str">
        <f>IF(AND($C15="Goal",AB$4&gt;=$D15,AB$4&lt;=$D15+$E15-1),2,IF(AND($C15="Milestone",AB$4&gt;=$D15,AB$4&lt;=$D15+$E15-1),1,""))</f>
        <v/>
      </c>
      <c r="AC15" s="35" t="str">
        <f t="shared" si="22"/>
        <v/>
      </c>
      <c r="AD15" s="35" t="str">
        <f t="shared" si="22"/>
        <v/>
      </c>
      <c r="AE15" s="35" t="str">
        <f t="shared" si="22"/>
        <v/>
      </c>
      <c r="AF15" s="35" t="str">
        <f t="shared" si="22"/>
        <v/>
      </c>
      <c r="AG15" s="35" t="str">
        <f t="shared" si="22"/>
        <v/>
      </c>
      <c r="AH15" s="34" t="str">
        <f t="shared" si="23"/>
        <v/>
      </c>
      <c r="AI15" s="35" t="str">
        <f t="shared" si="22"/>
        <v/>
      </c>
      <c r="AJ15" s="36" t="str">
        <f t="shared" si="23"/>
        <v/>
      </c>
      <c r="AK15" s="35" t="str">
        <f t="shared" si="23"/>
        <v/>
      </c>
      <c r="AL15" s="35" t="str">
        <f t="shared" si="23"/>
        <v/>
      </c>
      <c r="AM15" s="35" t="str">
        <f t="shared" si="23"/>
        <v/>
      </c>
      <c r="AN15" s="35" t="str">
        <f t="shared" si="23"/>
        <v/>
      </c>
      <c r="AO15" s="35" t="str">
        <f t="shared" si="23"/>
        <v/>
      </c>
      <c r="AP15" s="35" t="str">
        <f t="shared" si="23"/>
        <v/>
      </c>
      <c r="AQ15" s="34" t="str">
        <f t="shared" si="23"/>
        <v/>
      </c>
      <c r="AR15" s="35" t="str">
        <f t="shared" si="23"/>
        <v/>
      </c>
      <c r="AS15" s="36" t="str">
        <f t="shared" si="23"/>
        <v/>
      </c>
      <c r="AT15" s="35" t="str">
        <f t="shared" si="23"/>
        <v/>
      </c>
      <c r="AU15" s="35" t="str">
        <f t="shared" si="23"/>
        <v/>
      </c>
      <c r="AV15" s="35" t="str">
        <f t="shared" si="23"/>
        <v/>
      </c>
      <c r="AW15" s="35" t="str">
        <f t="shared" si="23"/>
        <v/>
      </c>
      <c r="AX15" s="35" t="str">
        <f t="shared" si="23"/>
        <v/>
      </c>
      <c r="AY15" s="36" t="str">
        <f t="shared" si="24"/>
        <v/>
      </c>
    </row>
    <row r="16" spans="1:51" ht="45" customHeight="1" x14ac:dyDescent="0.2">
      <c r="B16" s="38" t="s">
        <v>15</v>
      </c>
      <c r="C16" s="39" t="s">
        <v>21</v>
      </c>
      <c r="D16" s="46">
        <v>46085</v>
      </c>
      <c r="E16" s="40">
        <v>4</v>
      </c>
      <c r="F16" s="33"/>
      <c r="G16" s="42" t="str">
        <f t="shared" si="20"/>
        <v/>
      </c>
      <c r="H16" s="42" t="str">
        <f t="shared" si="20"/>
        <v/>
      </c>
      <c r="I16" s="42" t="str">
        <f t="shared" si="20"/>
        <v/>
      </c>
      <c r="J16" s="42" t="str">
        <f t="shared" si="20"/>
        <v/>
      </c>
      <c r="K16" s="42" t="str">
        <f t="shared" si="20"/>
        <v/>
      </c>
      <c r="L16" s="42" t="str">
        <f t="shared" si="20"/>
        <v/>
      </c>
      <c r="M16" s="42" t="str">
        <f t="shared" si="20"/>
        <v/>
      </c>
      <c r="N16" s="42" t="str">
        <f t="shared" si="20"/>
        <v/>
      </c>
      <c r="O16" s="42" t="str">
        <f t="shared" si="20"/>
        <v/>
      </c>
      <c r="P16" s="42" t="str">
        <f t="shared" si="20"/>
        <v/>
      </c>
      <c r="Q16" s="42" t="str">
        <f t="shared" si="20"/>
        <v/>
      </c>
      <c r="R16" s="42" t="str">
        <f t="shared" si="20"/>
        <v/>
      </c>
      <c r="S16" s="42" t="str">
        <f t="shared" si="20"/>
        <v/>
      </c>
      <c r="T16" s="42" t="str">
        <f t="shared" si="20"/>
        <v/>
      </c>
      <c r="U16" s="42" t="str">
        <f t="shared" si="20"/>
        <v/>
      </c>
      <c r="V16" s="42" t="str">
        <f t="shared" si="20"/>
        <v/>
      </c>
      <c r="W16" s="42" t="str">
        <f t="shared" si="22"/>
        <v/>
      </c>
      <c r="X16" s="42" t="str">
        <f t="shared" si="22"/>
        <v/>
      </c>
      <c r="Y16" s="42" t="str">
        <f t="shared" si="22"/>
        <v/>
      </c>
      <c r="Z16" s="42" t="str">
        <f t="shared" si="22"/>
        <v/>
      </c>
      <c r="AA16" s="42" t="str">
        <f t="shared" si="22"/>
        <v/>
      </c>
      <c r="AB16" s="42" t="str">
        <f t="shared" si="22"/>
        <v/>
      </c>
      <c r="AC16" s="52" t="str">
        <f t="shared" si="22"/>
        <v/>
      </c>
      <c r="AD16" s="42" t="str">
        <f t="shared" si="22"/>
        <v/>
      </c>
      <c r="AE16" s="42" t="str">
        <f t="shared" si="22"/>
        <v/>
      </c>
      <c r="AF16" s="52" t="str">
        <f t="shared" si="22"/>
        <v/>
      </c>
      <c r="AG16" s="52" t="str">
        <f t="shared" si="22"/>
        <v/>
      </c>
      <c r="AH16" s="52" t="str">
        <f t="shared" si="22"/>
        <v/>
      </c>
      <c r="AI16" s="42" t="str">
        <f t="shared" ref="AI16:AY16" si="26">IF(AND($C16="Goal",AI$4&gt;=$D16,AI$4&lt;=$D16+$E16-1),2,IF(AND($C16="Milestone",AI$4&gt;=$D16,AI$4&lt;=$D16+$E16-1),1,""))</f>
        <v/>
      </c>
      <c r="AJ16" s="42" t="str">
        <f t="shared" si="26"/>
        <v/>
      </c>
      <c r="AK16" s="42" t="str">
        <f t="shared" si="26"/>
        <v/>
      </c>
      <c r="AL16" s="42" t="str">
        <f t="shared" si="26"/>
        <v/>
      </c>
      <c r="AM16" s="42" t="str">
        <f t="shared" si="26"/>
        <v/>
      </c>
      <c r="AN16" s="42" t="str">
        <f t="shared" si="26"/>
        <v/>
      </c>
      <c r="AO16" s="42" t="str">
        <f t="shared" si="26"/>
        <v/>
      </c>
      <c r="AP16" s="42" t="str">
        <f t="shared" si="26"/>
        <v/>
      </c>
      <c r="AQ16" s="42" t="str">
        <f t="shared" si="26"/>
        <v/>
      </c>
      <c r="AR16" s="42" t="str">
        <f t="shared" si="26"/>
        <v/>
      </c>
      <c r="AS16" s="42" t="str">
        <f t="shared" si="26"/>
        <v/>
      </c>
      <c r="AT16" s="42" t="str">
        <f t="shared" si="26"/>
        <v/>
      </c>
      <c r="AU16" s="42" t="str">
        <f t="shared" si="26"/>
        <v/>
      </c>
      <c r="AV16" s="42" t="str">
        <f t="shared" si="26"/>
        <v/>
      </c>
      <c r="AW16" s="42" t="str">
        <f t="shared" si="26"/>
        <v/>
      </c>
      <c r="AX16" s="42" t="str">
        <f t="shared" si="26"/>
        <v/>
      </c>
      <c r="AY16" s="42" t="str">
        <f t="shared" si="26"/>
        <v/>
      </c>
    </row>
    <row r="17" spans="2:51" ht="45" customHeight="1" x14ac:dyDescent="0.2">
      <c r="B17" s="29" t="s">
        <v>16</v>
      </c>
      <c r="C17" s="30" t="s">
        <v>20</v>
      </c>
      <c r="D17" s="31">
        <v>46097</v>
      </c>
      <c r="E17" s="32">
        <v>2</v>
      </c>
      <c r="F17" s="33"/>
      <c r="G17" s="34" t="str">
        <f t="shared" si="20"/>
        <v/>
      </c>
      <c r="H17" s="35" t="str">
        <f t="shared" si="20"/>
        <v/>
      </c>
      <c r="I17" s="36" t="str">
        <f t="shared" si="20"/>
        <v/>
      </c>
      <c r="J17" s="35" t="str">
        <f t="shared" si="20"/>
        <v/>
      </c>
      <c r="K17" s="35" t="str">
        <f t="shared" si="20"/>
        <v/>
      </c>
      <c r="L17" s="35" t="str">
        <f t="shared" si="20"/>
        <v/>
      </c>
      <c r="M17" s="35" t="str">
        <f t="shared" si="20"/>
        <v/>
      </c>
      <c r="N17" s="35" t="str">
        <f t="shared" si="20"/>
        <v/>
      </c>
      <c r="O17" s="35" t="str">
        <f t="shared" si="20"/>
        <v/>
      </c>
      <c r="P17" s="35" t="str">
        <f t="shared" si="20"/>
        <v/>
      </c>
      <c r="Q17" s="35" t="str">
        <f t="shared" si="20"/>
        <v/>
      </c>
      <c r="R17" s="35" t="str">
        <f t="shared" si="20"/>
        <v/>
      </c>
      <c r="S17" s="35" t="str">
        <f t="shared" si="20"/>
        <v/>
      </c>
      <c r="T17" s="35" t="str">
        <f t="shared" si="20"/>
        <v/>
      </c>
      <c r="U17" s="35" t="str">
        <f t="shared" si="20"/>
        <v/>
      </c>
      <c r="V17" s="35" t="str">
        <f t="shared" si="20"/>
        <v/>
      </c>
      <c r="W17" s="35" t="str">
        <f t="shared" si="22"/>
        <v/>
      </c>
      <c r="X17" s="35" t="str">
        <f t="shared" si="22"/>
        <v/>
      </c>
      <c r="Y17" s="35" t="str">
        <f t="shared" si="22"/>
        <v/>
      </c>
      <c r="Z17" s="35" t="str">
        <f t="shared" si="22"/>
        <v/>
      </c>
      <c r="AA17" s="35" t="str">
        <f t="shared" si="22"/>
        <v/>
      </c>
      <c r="AB17" s="35" t="str">
        <f t="shared" si="22"/>
        <v/>
      </c>
      <c r="AC17" s="35" t="str">
        <f t="shared" si="22"/>
        <v/>
      </c>
      <c r="AD17" s="35" t="str">
        <f t="shared" si="22"/>
        <v/>
      </c>
      <c r="AE17" s="35" t="str">
        <f t="shared" si="22"/>
        <v/>
      </c>
      <c r="AF17" s="35" t="str">
        <f t="shared" si="22"/>
        <v/>
      </c>
      <c r="AG17" s="35" t="str">
        <f t="shared" si="22"/>
        <v/>
      </c>
      <c r="AH17" s="35" t="str">
        <f t="shared" si="22"/>
        <v/>
      </c>
      <c r="AI17" s="35" t="str">
        <f t="shared" si="23"/>
        <v/>
      </c>
      <c r="AJ17" s="35" t="str">
        <f t="shared" si="23"/>
        <v/>
      </c>
      <c r="AK17" s="52" t="str">
        <f t="shared" si="22"/>
        <v/>
      </c>
      <c r="AL17" s="52" t="str">
        <f t="shared" si="22"/>
        <v/>
      </c>
      <c r="AM17" s="35" t="str">
        <f t="shared" si="23"/>
        <v/>
      </c>
      <c r="AN17" s="35" t="str">
        <f t="shared" si="23"/>
        <v/>
      </c>
      <c r="AO17" s="35" t="str">
        <f t="shared" si="23"/>
        <v/>
      </c>
      <c r="AP17" s="35" t="str">
        <f t="shared" si="23"/>
        <v/>
      </c>
      <c r="AQ17" s="35" t="str">
        <f t="shared" si="23"/>
        <v/>
      </c>
      <c r="AR17" s="35" t="str">
        <f t="shared" si="23"/>
        <v/>
      </c>
      <c r="AS17" s="35" t="str">
        <f t="shared" si="23"/>
        <v/>
      </c>
      <c r="AT17" s="35" t="str">
        <f t="shared" si="23"/>
        <v/>
      </c>
      <c r="AU17" s="35" t="str">
        <f t="shared" si="23"/>
        <v/>
      </c>
      <c r="AV17" s="35" t="str">
        <f t="shared" si="23"/>
        <v/>
      </c>
      <c r="AW17" s="35" t="str">
        <f t="shared" si="23"/>
        <v/>
      </c>
      <c r="AX17" s="35" t="str">
        <f t="shared" si="23"/>
        <v/>
      </c>
      <c r="AY17" s="35" t="str">
        <f t="shared" si="23"/>
        <v/>
      </c>
    </row>
    <row r="18" spans="2:51" ht="45" customHeight="1" x14ac:dyDescent="0.2">
      <c r="B18" s="66" t="s">
        <v>17</v>
      </c>
      <c r="C18" s="54" t="s">
        <v>4</v>
      </c>
      <c r="D18" s="46">
        <v>46098</v>
      </c>
      <c r="E18" s="40">
        <v>2</v>
      </c>
      <c r="F18" s="33"/>
      <c r="G18" s="42" t="str">
        <f t="shared" si="20"/>
        <v/>
      </c>
      <c r="H18" s="42" t="str">
        <f t="shared" si="20"/>
        <v/>
      </c>
      <c r="I18" s="42" t="str">
        <f t="shared" si="20"/>
        <v/>
      </c>
      <c r="J18" s="42" t="str">
        <f t="shared" si="20"/>
        <v/>
      </c>
      <c r="K18" s="42" t="str">
        <f t="shared" si="20"/>
        <v/>
      </c>
      <c r="L18" s="42" t="str">
        <f t="shared" si="20"/>
        <v/>
      </c>
      <c r="M18" s="42" t="str">
        <f t="shared" si="20"/>
        <v/>
      </c>
      <c r="N18" s="42" t="str">
        <f t="shared" si="20"/>
        <v/>
      </c>
      <c r="O18" s="42" t="str">
        <f t="shared" si="20"/>
        <v/>
      </c>
      <c r="P18" s="42" t="str">
        <f t="shared" si="20"/>
        <v/>
      </c>
      <c r="Q18" s="42" t="str">
        <f t="shared" si="20"/>
        <v/>
      </c>
      <c r="R18" s="42" t="str">
        <f t="shared" si="20"/>
        <v/>
      </c>
      <c r="S18" s="42" t="str">
        <f t="shared" si="20"/>
        <v/>
      </c>
      <c r="T18" s="42" t="str">
        <f t="shared" si="20"/>
        <v/>
      </c>
      <c r="U18" s="42" t="str">
        <f t="shared" si="20"/>
        <v/>
      </c>
      <c r="V18" s="42" t="str">
        <f t="shared" si="20"/>
        <v/>
      </c>
      <c r="W18" s="42" t="str">
        <f t="shared" si="22"/>
        <v/>
      </c>
      <c r="X18" s="42" t="str">
        <f t="shared" si="22"/>
        <v/>
      </c>
      <c r="Y18" s="42" t="str">
        <f t="shared" si="22"/>
        <v/>
      </c>
      <c r="Z18" s="42" t="str">
        <f t="shared" si="22"/>
        <v/>
      </c>
      <c r="AA18" s="42" t="str">
        <f t="shared" si="22"/>
        <v/>
      </c>
      <c r="AB18" s="42" t="str">
        <f t="shared" si="22"/>
        <v/>
      </c>
      <c r="AC18" s="42" t="str">
        <f t="shared" si="22"/>
        <v/>
      </c>
      <c r="AD18" s="42" t="str">
        <f t="shared" si="22"/>
        <v/>
      </c>
      <c r="AE18" s="42" t="str">
        <f t="shared" si="22"/>
        <v/>
      </c>
      <c r="AF18" s="42" t="str">
        <f t="shared" si="22"/>
        <v/>
      </c>
      <c r="AG18" s="42" t="str">
        <f t="shared" si="22"/>
        <v/>
      </c>
      <c r="AH18" s="42" t="str">
        <f t="shared" si="22"/>
        <v/>
      </c>
      <c r="AI18" s="42" t="str">
        <f t="shared" si="23"/>
        <v/>
      </c>
      <c r="AJ18" s="42" t="str">
        <f t="shared" si="23"/>
        <v/>
      </c>
      <c r="AK18" s="42" t="str">
        <f t="shared" si="23"/>
        <v/>
      </c>
      <c r="AL18" s="52" t="str">
        <f t="shared" si="22"/>
        <v/>
      </c>
      <c r="AM18" s="52" t="str">
        <f t="shared" si="22"/>
        <v/>
      </c>
      <c r="AN18" s="42" t="str">
        <f t="shared" si="23"/>
        <v/>
      </c>
      <c r="AO18" s="42" t="str">
        <f t="shared" si="23"/>
        <v/>
      </c>
      <c r="AP18" s="42" t="str">
        <f t="shared" si="23"/>
        <v/>
      </c>
      <c r="AQ18" s="42" t="str">
        <f t="shared" si="23"/>
        <v/>
      </c>
      <c r="AR18" s="42" t="str">
        <f t="shared" si="23"/>
        <v/>
      </c>
      <c r="AS18" s="42" t="str">
        <f t="shared" si="23"/>
        <v/>
      </c>
      <c r="AT18" s="42" t="str">
        <f t="shared" si="23"/>
        <v/>
      </c>
      <c r="AU18" s="42" t="str">
        <f t="shared" si="23"/>
        <v/>
      </c>
      <c r="AV18" s="42" t="str">
        <f t="shared" si="23"/>
        <v/>
      </c>
      <c r="AW18" s="42" t="str">
        <f t="shared" si="23"/>
        <v/>
      </c>
      <c r="AX18" s="42" t="str">
        <f t="shared" si="23"/>
        <v/>
      </c>
      <c r="AY18" s="68" t="str">
        <f t="shared" si="23"/>
        <v/>
      </c>
    </row>
    <row r="19" spans="2:51" ht="45" customHeight="1" x14ac:dyDescent="0.2">
      <c r="B19" s="67" t="s">
        <v>18</v>
      </c>
      <c r="C19" s="65" t="s">
        <v>4</v>
      </c>
      <c r="D19" s="31">
        <v>46062</v>
      </c>
      <c r="E19" s="32">
        <v>21</v>
      </c>
      <c r="F19" s="33"/>
      <c r="G19" s="34" t="str">
        <f t="shared" si="20"/>
        <v/>
      </c>
      <c r="H19" s="34" t="str">
        <f t="shared" si="20"/>
        <v/>
      </c>
      <c r="I19" s="34" t="str">
        <f t="shared" si="20"/>
        <v/>
      </c>
      <c r="J19" s="34" t="str">
        <f t="shared" si="20"/>
        <v/>
      </c>
      <c r="K19" s="34" t="str">
        <f t="shared" si="20"/>
        <v/>
      </c>
      <c r="L19" s="52" t="str">
        <f t="shared" si="20"/>
        <v/>
      </c>
      <c r="M19" s="52" t="str">
        <f t="shared" si="20"/>
        <v/>
      </c>
      <c r="N19" s="52" t="str">
        <f t="shared" si="20"/>
        <v/>
      </c>
      <c r="O19" s="34" t="str">
        <f t="shared" si="20"/>
        <v/>
      </c>
      <c r="P19" s="34" t="str">
        <f t="shared" si="20"/>
        <v/>
      </c>
      <c r="Q19" s="52" t="str">
        <f t="shared" si="20"/>
        <v/>
      </c>
      <c r="R19" s="52" t="str">
        <f t="shared" si="20"/>
        <v/>
      </c>
      <c r="S19" s="52" t="str">
        <f t="shared" si="20"/>
        <v/>
      </c>
      <c r="T19" s="34" t="str">
        <f t="shared" si="20"/>
        <v/>
      </c>
      <c r="U19" s="34" t="str">
        <f t="shared" si="20"/>
        <v/>
      </c>
      <c r="V19" s="52" t="str">
        <f t="shared" si="20"/>
        <v/>
      </c>
      <c r="W19" s="52" t="str">
        <f t="shared" si="22"/>
        <v/>
      </c>
      <c r="X19" s="52" t="str">
        <f t="shared" si="22"/>
        <v/>
      </c>
      <c r="Y19" s="34" t="str">
        <f t="shared" si="22"/>
        <v/>
      </c>
      <c r="Z19" s="34" t="str">
        <f t="shared" si="22"/>
        <v/>
      </c>
      <c r="AA19" s="52" t="str">
        <f t="shared" si="22"/>
        <v/>
      </c>
      <c r="AB19" s="52" t="str">
        <f t="shared" si="22"/>
        <v/>
      </c>
      <c r="AC19" s="52" t="str">
        <f t="shared" si="22"/>
        <v/>
      </c>
      <c r="AD19" s="34" t="str">
        <f t="shared" si="22"/>
        <v/>
      </c>
      <c r="AE19" s="34" t="str">
        <f t="shared" si="22"/>
        <v/>
      </c>
      <c r="AF19" s="52" t="str">
        <f t="shared" si="22"/>
        <v/>
      </c>
      <c r="AG19" s="52" t="str">
        <f t="shared" si="22"/>
        <v/>
      </c>
      <c r="AH19" s="52" t="str">
        <f t="shared" si="22"/>
        <v/>
      </c>
      <c r="AI19" s="34" t="str">
        <f t="shared" si="23"/>
        <v/>
      </c>
      <c r="AJ19" s="34" t="str">
        <f t="shared" si="23"/>
        <v/>
      </c>
      <c r="AK19" s="52" t="str">
        <f t="shared" si="22"/>
        <v/>
      </c>
      <c r="AL19" s="52" t="str">
        <f t="shared" si="22"/>
        <v/>
      </c>
      <c r="AM19" s="52" t="str">
        <f t="shared" si="22"/>
        <v/>
      </c>
      <c r="AN19" s="34" t="str">
        <f t="shared" si="23"/>
        <v/>
      </c>
      <c r="AO19" s="34" t="str">
        <f t="shared" si="23"/>
        <v/>
      </c>
      <c r="AP19" s="52" t="str">
        <f t="shared" si="23"/>
        <v/>
      </c>
      <c r="AQ19" s="52" t="str">
        <f t="shared" si="23"/>
        <v/>
      </c>
      <c r="AR19" s="52" t="str">
        <f t="shared" si="23"/>
        <v/>
      </c>
      <c r="AS19" s="34" t="str">
        <f t="shared" si="23"/>
        <v/>
      </c>
      <c r="AT19" s="34" t="str">
        <f t="shared" si="23"/>
        <v/>
      </c>
      <c r="AU19" s="34" t="str">
        <f t="shared" si="23"/>
        <v/>
      </c>
      <c r="AV19" s="34" t="str">
        <f t="shared" si="23"/>
        <v/>
      </c>
      <c r="AW19" s="34" t="str">
        <f t="shared" si="23"/>
        <v/>
      </c>
      <c r="AX19" s="34" t="str">
        <f t="shared" si="23"/>
        <v/>
      </c>
      <c r="AY19" s="34" t="str">
        <f t="shared" si="23"/>
        <v/>
      </c>
    </row>
    <row r="20" spans="2:51" ht="45" customHeight="1" x14ac:dyDescent="0.2">
      <c r="B20" s="45" t="s">
        <v>19</v>
      </c>
      <c r="C20" s="39" t="s">
        <v>20</v>
      </c>
      <c r="D20" s="46">
        <v>46106</v>
      </c>
      <c r="E20" s="40">
        <v>4</v>
      </c>
      <c r="F20" s="33"/>
      <c r="G20" s="41" t="str">
        <f t="shared" si="20"/>
        <v/>
      </c>
      <c r="H20" s="42" t="str">
        <f t="shared" si="20"/>
        <v/>
      </c>
      <c r="I20" s="43" t="str">
        <f t="shared" si="20"/>
        <v/>
      </c>
      <c r="J20" s="42" t="str">
        <f t="shared" si="20"/>
        <v/>
      </c>
      <c r="K20" s="42" t="str">
        <f t="shared" si="20"/>
        <v/>
      </c>
      <c r="L20" s="42" t="str">
        <f t="shared" si="20"/>
        <v/>
      </c>
      <c r="M20" s="42" t="str">
        <f t="shared" si="20"/>
        <v/>
      </c>
      <c r="N20" s="42" t="str">
        <f t="shared" si="20"/>
        <v/>
      </c>
      <c r="O20" s="42" t="str">
        <f t="shared" si="20"/>
        <v/>
      </c>
      <c r="P20" s="42" t="str">
        <f t="shared" si="20"/>
        <v/>
      </c>
      <c r="Q20" s="42" t="str">
        <f t="shared" si="22"/>
        <v/>
      </c>
      <c r="R20" s="42" t="str">
        <f t="shared" si="22"/>
        <v/>
      </c>
      <c r="S20" s="42" t="str">
        <f t="shared" si="22"/>
        <v/>
      </c>
      <c r="T20" s="42" t="str">
        <f t="shared" si="22"/>
        <v/>
      </c>
      <c r="U20" s="42" t="str">
        <f t="shared" si="20"/>
        <v/>
      </c>
      <c r="V20" s="42" t="str">
        <f t="shared" si="22"/>
        <v/>
      </c>
      <c r="W20" s="42" t="str">
        <f t="shared" si="22"/>
        <v/>
      </c>
      <c r="X20" s="42" t="str">
        <f t="shared" si="22"/>
        <v/>
      </c>
      <c r="Y20" s="41" t="str">
        <f t="shared" si="22"/>
        <v/>
      </c>
      <c r="Z20" s="42" t="str">
        <f t="shared" si="22"/>
        <v/>
      </c>
      <c r="AA20" s="43" t="str">
        <f t="shared" si="22"/>
        <v/>
      </c>
      <c r="AB20" s="42" t="str">
        <f t="shared" si="22"/>
        <v/>
      </c>
      <c r="AC20" s="42" t="str">
        <f t="shared" si="22"/>
        <v/>
      </c>
      <c r="AD20" s="42" t="str">
        <f t="shared" si="22"/>
        <v/>
      </c>
      <c r="AE20" s="42" t="str">
        <f t="shared" si="22"/>
        <v/>
      </c>
      <c r="AF20" s="42" t="str">
        <f t="shared" si="22"/>
        <v/>
      </c>
      <c r="AG20" s="42" t="str">
        <f t="shared" si="22"/>
        <v/>
      </c>
      <c r="AH20" s="41" t="str">
        <f t="shared" si="23"/>
        <v/>
      </c>
      <c r="AI20" s="42" t="str">
        <f t="shared" si="23"/>
        <v/>
      </c>
      <c r="AJ20" s="43" t="str">
        <f t="shared" si="23"/>
        <v/>
      </c>
      <c r="AK20" s="42" t="str">
        <f t="shared" si="23"/>
        <v/>
      </c>
      <c r="AL20" s="42" t="str">
        <f t="shared" si="23"/>
        <v/>
      </c>
      <c r="AM20" s="42" t="str">
        <f t="shared" si="23"/>
        <v/>
      </c>
      <c r="AN20" s="42" t="str">
        <f t="shared" si="23"/>
        <v/>
      </c>
      <c r="AO20" s="42" t="str">
        <f t="shared" si="23"/>
        <v/>
      </c>
      <c r="AP20" s="42" t="str">
        <f t="shared" si="23"/>
        <v/>
      </c>
      <c r="AQ20" s="42" t="str">
        <f t="shared" si="23"/>
        <v/>
      </c>
      <c r="AR20" s="52" t="str">
        <f t="shared" si="23"/>
        <v/>
      </c>
      <c r="AS20" s="43" t="str">
        <f t="shared" si="23"/>
        <v/>
      </c>
      <c r="AT20" s="42" t="str">
        <f t="shared" si="23"/>
        <v/>
      </c>
      <c r="AU20" s="52" t="str">
        <f t="shared" si="23"/>
        <v/>
      </c>
      <c r="AV20" s="52" t="str">
        <f t="shared" si="23"/>
        <v/>
      </c>
      <c r="AW20" s="52" t="str">
        <f t="shared" si="23"/>
        <v/>
      </c>
      <c r="AX20" s="42" t="str">
        <f t="shared" si="23"/>
        <v/>
      </c>
      <c r="AY20" s="69" t="str">
        <f t="shared" si="24"/>
        <v/>
      </c>
    </row>
    <row r="21" spans="2:51" x14ac:dyDescent="0.2">
      <c r="B21" s="47"/>
      <c r="C21" s="48" t="s">
        <v>6</v>
      </c>
      <c r="D21" s="49"/>
      <c r="E21" s="50"/>
    </row>
    <row r="22" spans="2:51" ht="34" x14ac:dyDescent="0.2">
      <c r="B22" s="85" t="s">
        <v>34</v>
      </c>
      <c r="C22" s="86"/>
      <c r="D22" s="86"/>
      <c r="E22" s="86"/>
      <c r="F22" s="86"/>
      <c r="G22" s="87"/>
      <c r="H22" s="87"/>
      <c r="I22" s="87"/>
      <c r="J22" s="87"/>
      <c r="K22" s="87"/>
      <c r="L22" s="87"/>
      <c r="M22" s="88"/>
      <c r="N22" s="89"/>
      <c r="O22" s="89"/>
      <c r="P22" s="89"/>
      <c r="Q22" s="89"/>
      <c r="R22" s="89"/>
      <c r="S22" s="5"/>
      <c r="T22" s="5"/>
      <c r="U22" s="5"/>
      <c r="V22" s="5"/>
      <c r="W22" s="5"/>
      <c r="X22" s="5"/>
      <c r="Y22" s="87"/>
      <c r="Z22" s="87"/>
      <c r="AA22" s="87"/>
      <c r="AB22" s="87"/>
      <c r="AC22" s="87"/>
      <c r="AD22" s="87"/>
      <c r="AE22" s="88"/>
      <c r="AF22" s="89"/>
      <c r="AG22" s="89"/>
      <c r="AH22" s="89"/>
      <c r="AI22" s="89"/>
      <c r="AJ22" s="89"/>
      <c r="AK22" s="5"/>
      <c r="AL22" s="5"/>
      <c r="AM22" s="5"/>
      <c r="AN22" s="5"/>
      <c r="AO22" s="5"/>
      <c r="AP22" s="5"/>
      <c r="AQ22" s="87"/>
      <c r="AR22" s="87"/>
      <c r="AS22" s="87"/>
      <c r="AT22" s="87"/>
      <c r="AU22" s="87"/>
      <c r="AV22" s="87"/>
      <c r="AW22" s="88"/>
      <c r="AX22" s="89"/>
      <c r="AY22" s="89"/>
    </row>
    <row r="23" spans="2:51" ht="21" x14ac:dyDescent="0.2">
      <c r="B23" s="6"/>
      <c r="C23" s="7"/>
      <c r="D23" s="8"/>
      <c r="E23" s="9"/>
      <c r="F23" s="10"/>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row>
    <row r="24" spans="2:51" ht="21" x14ac:dyDescent="0.2">
      <c r="B24" s="11" t="s">
        <v>30</v>
      </c>
      <c r="C24" s="12">
        <f>DATE(2026,2,2)</f>
        <v>46055</v>
      </c>
      <c r="D24" s="13" cm="1">
        <f t="array" aca="1" ref="D24" ca="1">IFERROR(IF(MIN(Milestones4354[Days])=0,TODAY(),#REF!(Milestones4354[Days])),TODAY())</f>
        <v>46092</v>
      </c>
      <c r="E24" s="14"/>
      <c r="F24" s="15"/>
      <c r="G24" s="56" t="str">
        <f>TEXT(G25,"mmmm")</f>
        <v>février</v>
      </c>
      <c r="H24" s="57"/>
      <c r="I24" s="57"/>
      <c r="J24" s="57"/>
      <c r="K24" s="57"/>
      <c r="L24" s="57"/>
      <c r="M24" s="57"/>
      <c r="N24" s="57"/>
      <c r="O24" s="57"/>
      <c r="P24" s="57"/>
      <c r="Q24" s="57"/>
      <c r="R24" s="57"/>
      <c r="S24" s="57"/>
      <c r="T24" s="57"/>
      <c r="U24" s="57"/>
      <c r="V24" s="57"/>
      <c r="W24" s="57"/>
      <c r="X24" s="57"/>
      <c r="Y24" s="56"/>
      <c r="Z24" s="57"/>
      <c r="AA24" s="64" t="str">
        <f>TEXT(AA25,"mmmm")</f>
        <v>mars</v>
      </c>
      <c r="AB24" s="57"/>
      <c r="AC24" s="63"/>
      <c r="AD24" s="57"/>
      <c r="AE24" s="57"/>
      <c r="AF24" s="57"/>
      <c r="AG24" s="57"/>
      <c r="AH24" s="57"/>
      <c r="AI24" s="57"/>
      <c r="AJ24" s="57"/>
      <c r="AK24" s="57"/>
      <c r="AL24" s="57"/>
      <c r="AM24" s="57"/>
      <c r="AN24" s="57"/>
      <c r="AO24" s="57"/>
      <c r="AP24" s="57"/>
      <c r="AQ24" s="57"/>
      <c r="AR24" s="57"/>
      <c r="AS24" s="57"/>
      <c r="AT24" s="57"/>
      <c r="AU24" s="57"/>
      <c r="AV24" s="57"/>
      <c r="AW24" s="57" t="str">
        <f>TEXT(AW25,"mmmm")</f>
        <v>avril</v>
      </c>
      <c r="AX24" s="57"/>
      <c r="AY24" s="57"/>
    </row>
    <row r="25" spans="2:51" x14ac:dyDescent="0.2">
      <c r="B25" s="17" t="s">
        <v>3</v>
      </c>
      <c r="C25" s="17" t="s">
        <v>3</v>
      </c>
      <c r="D25" s="18"/>
      <c r="E25" s="14"/>
      <c r="F25" s="19"/>
      <c r="G25" s="58">
        <v>33</v>
      </c>
      <c r="H25" s="58">
        <f>G25+1</f>
        <v>34</v>
      </c>
      <c r="I25" s="58">
        <f t="shared" ref="I25" si="27">H25+1</f>
        <v>35</v>
      </c>
      <c r="J25" s="58">
        <f>I25+1</f>
        <v>36</v>
      </c>
      <c r="K25" s="59">
        <f>J25+1</f>
        <v>37</v>
      </c>
      <c r="L25" s="60">
        <v>9</v>
      </c>
      <c r="M25" s="58">
        <f>L25+1</f>
        <v>10</v>
      </c>
      <c r="N25" s="58">
        <f>M25+1</f>
        <v>11</v>
      </c>
      <c r="O25" s="58">
        <f>N25+1</f>
        <v>12</v>
      </c>
      <c r="P25" s="59">
        <f t="shared" ref="P25" si="28">O25+1</f>
        <v>13</v>
      </c>
      <c r="Q25" s="60">
        <v>16</v>
      </c>
      <c r="R25" s="58">
        <f t="shared" ref="R25" si="29">Q25+1</f>
        <v>17</v>
      </c>
      <c r="S25" s="58">
        <f t="shared" ref="S25" si="30">R25+1</f>
        <v>18</v>
      </c>
      <c r="T25" s="58">
        <f t="shared" ref="T25" si="31">S25+1</f>
        <v>19</v>
      </c>
      <c r="U25" s="59">
        <f>T25+1</f>
        <v>20</v>
      </c>
      <c r="V25" s="60">
        <v>23</v>
      </c>
      <c r="W25" s="58">
        <f t="shared" ref="W25" si="32">V25+1</f>
        <v>24</v>
      </c>
      <c r="X25" s="58">
        <f t="shared" ref="X25" si="33">W25+1</f>
        <v>25</v>
      </c>
      <c r="Y25" s="58">
        <v>26</v>
      </c>
      <c r="Z25" s="59">
        <f>Y25+1</f>
        <v>27</v>
      </c>
      <c r="AA25" s="60">
        <v>62</v>
      </c>
      <c r="AB25" s="58">
        <f t="shared" ref="AB25" si="34">AA25+1</f>
        <v>63</v>
      </c>
      <c r="AC25" s="58">
        <f t="shared" ref="AC25" si="35">AB25+1</f>
        <v>64</v>
      </c>
      <c r="AD25" s="58">
        <f t="shared" ref="AD25" si="36">AC25+1</f>
        <v>65</v>
      </c>
      <c r="AE25" s="59">
        <f t="shared" ref="AE25" si="37">AD25+1</f>
        <v>66</v>
      </c>
      <c r="AF25" s="60">
        <v>9</v>
      </c>
      <c r="AG25" s="58">
        <f t="shared" ref="AG25" si="38">AF25+1</f>
        <v>10</v>
      </c>
      <c r="AH25" s="58">
        <f t="shared" ref="AH25" si="39">AG25+1</f>
        <v>11</v>
      </c>
      <c r="AI25" s="58">
        <f t="shared" ref="AI25" si="40">AH25+1</f>
        <v>12</v>
      </c>
      <c r="AJ25" s="59">
        <f t="shared" ref="AJ25" si="41">AI25+1</f>
        <v>13</v>
      </c>
      <c r="AK25" s="60">
        <v>16</v>
      </c>
      <c r="AL25" s="58">
        <f t="shared" ref="AL25" si="42">AK25+1</f>
        <v>17</v>
      </c>
      <c r="AM25" s="58">
        <f t="shared" ref="AM25" si="43">AL25+1</f>
        <v>18</v>
      </c>
      <c r="AN25" s="58">
        <f t="shared" ref="AN25" si="44">AM25+1</f>
        <v>19</v>
      </c>
      <c r="AO25" s="59">
        <f t="shared" ref="AO25" si="45">AN25+1</f>
        <v>20</v>
      </c>
      <c r="AP25" s="60">
        <v>23</v>
      </c>
      <c r="AQ25" s="58">
        <f t="shared" ref="AQ25" si="46">AP25+1</f>
        <v>24</v>
      </c>
      <c r="AR25" s="58">
        <f t="shared" ref="AR25" si="47">AQ25+1</f>
        <v>25</v>
      </c>
      <c r="AS25" s="58">
        <f t="shared" ref="AS25" si="48">AR25+1</f>
        <v>26</v>
      </c>
      <c r="AT25" s="62">
        <f t="shared" ref="AT25" si="49">AS25+1</f>
        <v>27</v>
      </c>
      <c r="AU25" s="61">
        <v>30</v>
      </c>
      <c r="AV25" s="58">
        <f t="shared" ref="AV25" si="50">AU25+1</f>
        <v>31</v>
      </c>
      <c r="AW25" s="58">
        <v>92</v>
      </c>
      <c r="AX25" s="58">
        <f t="shared" ref="AX25" si="51">AW25+1</f>
        <v>93</v>
      </c>
      <c r="AY25" s="58">
        <f>AX25+1</f>
        <v>94</v>
      </c>
    </row>
    <row r="26" spans="2:51" x14ac:dyDescent="0.2">
      <c r="B26" s="21"/>
      <c r="C26" s="21"/>
      <c r="D26" s="18"/>
      <c r="E26" s="14"/>
      <c r="F26" s="22"/>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row>
    <row r="27" spans="2:51" ht="45" customHeight="1" x14ac:dyDescent="0.2">
      <c r="B27" s="23" t="s">
        <v>2</v>
      </c>
      <c r="C27" s="24" t="s">
        <v>32</v>
      </c>
      <c r="D27" s="25" t="s">
        <v>28</v>
      </c>
      <c r="E27" s="26" t="s">
        <v>29</v>
      </c>
      <c r="F27" s="27"/>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row>
    <row r="28" spans="2:51" ht="45" customHeight="1" x14ac:dyDescent="0.2">
      <c r="B28" s="29" t="s">
        <v>7</v>
      </c>
      <c r="C28" s="30" t="s">
        <v>20</v>
      </c>
      <c r="D28" s="31">
        <v>46055</v>
      </c>
      <c r="E28" s="32">
        <v>2</v>
      </c>
      <c r="F28" s="33"/>
      <c r="G28" s="37" t="str">
        <f>IF(AND($C28="Goal",H$4&gt;=$D28,H$4&lt;=$D28+$E28-1),2,IF(AND($C28="Milestone",H$4&gt;=$D28,H$4&lt;=$D28+$E28-1),1,""))</f>
        <v/>
      </c>
      <c r="H28" s="36" t="str">
        <f t="shared" ref="G28:V41" si="52">IF(AND($C28="Goal",H$4&gt;=$D28,H$4&lt;=$D28+$E28-1),2,IF(AND($C28="Milestone",H$4&gt;=$D28,H$4&lt;=$D28+$E28-1),1,""))</f>
        <v/>
      </c>
      <c r="I28" s="36" t="str">
        <f t="shared" si="52"/>
        <v/>
      </c>
      <c r="J28" s="35" t="str">
        <f t="shared" si="52"/>
        <v/>
      </c>
      <c r="K28" s="35" t="str">
        <f t="shared" si="52"/>
        <v/>
      </c>
      <c r="L28" s="35" t="str">
        <f t="shared" si="52"/>
        <v/>
      </c>
      <c r="M28" s="35" t="str">
        <f t="shared" si="52"/>
        <v/>
      </c>
      <c r="N28" s="35" t="str">
        <f t="shared" si="52"/>
        <v/>
      </c>
      <c r="O28" s="35" t="str">
        <f t="shared" si="52"/>
        <v/>
      </c>
      <c r="P28" s="35" t="str">
        <f t="shared" si="52"/>
        <v/>
      </c>
      <c r="Q28" s="35" t="str">
        <f t="shared" si="52"/>
        <v/>
      </c>
      <c r="R28" s="35" t="str">
        <f t="shared" si="52"/>
        <v/>
      </c>
      <c r="S28" s="35" t="str">
        <f t="shared" si="52"/>
        <v/>
      </c>
      <c r="T28" s="35" t="str">
        <f t="shared" si="52"/>
        <v/>
      </c>
      <c r="U28" s="35" t="str">
        <f t="shared" si="52"/>
        <v/>
      </c>
      <c r="V28" s="37" t="str">
        <f t="shared" si="52"/>
        <v/>
      </c>
      <c r="W28" s="35" t="str">
        <f t="shared" ref="W28:AX36" si="53">IF(AND($C28="Goal",W$4&gt;=$D28,W$4&lt;=$D28+$E28-1),2,IF(AND($C28="Milestone",W$4&gt;=$D28,W$4&lt;=$D28+$E28-1),1,""))</f>
        <v/>
      </c>
      <c r="X28" s="35" t="str">
        <f t="shared" si="53"/>
        <v/>
      </c>
      <c r="Y28" s="35" t="str">
        <f t="shared" si="53"/>
        <v/>
      </c>
      <c r="Z28" s="35" t="str">
        <f t="shared" si="53"/>
        <v/>
      </c>
      <c r="AA28" s="35" t="str">
        <f t="shared" si="53"/>
        <v/>
      </c>
      <c r="AB28" s="35" t="str">
        <f t="shared" si="53"/>
        <v/>
      </c>
      <c r="AC28" s="35" t="str">
        <f t="shared" si="53"/>
        <v/>
      </c>
      <c r="AD28" s="35" t="str">
        <f t="shared" si="53"/>
        <v/>
      </c>
      <c r="AE28" s="35" t="str">
        <f t="shared" si="53"/>
        <v/>
      </c>
      <c r="AF28" s="35" t="str">
        <f t="shared" si="53"/>
        <v/>
      </c>
      <c r="AG28" s="35" t="str">
        <f t="shared" si="53"/>
        <v/>
      </c>
      <c r="AH28" s="35" t="str">
        <f t="shared" si="53"/>
        <v/>
      </c>
      <c r="AI28" s="35" t="str">
        <f t="shared" si="53"/>
        <v/>
      </c>
      <c r="AJ28" s="35" t="str">
        <f t="shared" si="53"/>
        <v/>
      </c>
      <c r="AK28" s="35" t="str">
        <f t="shared" si="53"/>
        <v/>
      </c>
      <c r="AL28" s="35" t="str">
        <f t="shared" si="53"/>
        <v/>
      </c>
      <c r="AM28" s="35" t="str">
        <f t="shared" si="53"/>
        <v/>
      </c>
      <c r="AN28" s="35" t="str">
        <f t="shared" si="53"/>
        <v/>
      </c>
      <c r="AO28" s="35" t="str">
        <f t="shared" si="53"/>
        <v/>
      </c>
      <c r="AP28" s="35" t="str">
        <f t="shared" si="53"/>
        <v/>
      </c>
      <c r="AQ28" s="35" t="str">
        <f t="shared" si="53"/>
        <v/>
      </c>
      <c r="AR28" s="35" t="str">
        <f t="shared" si="53"/>
        <v/>
      </c>
      <c r="AS28" s="35" t="str">
        <f t="shared" si="53"/>
        <v/>
      </c>
      <c r="AT28" s="35" t="str">
        <f t="shared" si="53"/>
        <v/>
      </c>
      <c r="AU28" s="35" t="str">
        <f t="shared" si="53"/>
        <v/>
      </c>
      <c r="AV28" s="35" t="str">
        <f t="shared" si="53"/>
        <v/>
      </c>
      <c r="AW28" s="35" t="str">
        <f t="shared" si="53"/>
        <v/>
      </c>
      <c r="AX28" s="35" t="str">
        <f t="shared" si="53"/>
        <v/>
      </c>
      <c r="AY28" s="35" t="str">
        <f t="shared" ref="AY28:AY41" si="54">IF(AND($C28="Goal",AY$4&gt;=$D28,AY$4&lt;=$D28+$E28-1),2,IF(AND($C28="Milestone",AY$4&gt;=$D28,AY$4&lt;=$D28+$E28-1),1,""))</f>
        <v/>
      </c>
    </row>
    <row r="29" spans="2:51" ht="45" customHeight="1" x14ac:dyDescent="0.2">
      <c r="B29" s="38" t="s">
        <v>5</v>
      </c>
      <c r="C29" s="54" t="s">
        <v>20</v>
      </c>
      <c r="D29" s="70">
        <v>46056</v>
      </c>
      <c r="E29" s="40">
        <v>1</v>
      </c>
      <c r="F29" s="33"/>
      <c r="G29" s="41" t="str">
        <f t="shared" si="52"/>
        <v/>
      </c>
      <c r="H29" s="73" t="str">
        <f t="shared" si="52"/>
        <v/>
      </c>
      <c r="I29" s="41" t="str">
        <f t="shared" si="52"/>
        <v/>
      </c>
      <c r="J29" s="42" t="str">
        <f t="shared" si="52"/>
        <v/>
      </c>
      <c r="K29" s="42" t="str">
        <f t="shared" si="52"/>
        <v/>
      </c>
      <c r="L29" s="42" t="str">
        <f t="shared" si="52"/>
        <v/>
      </c>
      <c r="M29" s="42" t="str">
        <f t="shared" si="52"/>
        <v/>
      </c>
      <c r="N29" s="42" t="str">
        <f t="shared" si="52"/>
        <v/>
      </c>
      <c r="O29" s="42" t="str">
        <f t="shared" si="52"/>
        <v/>
      </c>
      <c r="P29" s="42" t="str">
        <f t="shared" si="52"/>
        <v/>
      </c>
      <c r="Q29" s="42" t="str">
        <f t="shared" si="52"/>
        <v/>
      </c>
      <c r="R29" s="42" t="str">
        <f t="shared" si="52"/>
        <v/>
      </c>
      <c r="S29" s="42" t="str">
        <f t="shared" si="52"/>
        <v/>
      </c>
      <c r="T29" s="42" t="str">
        <f t="shared" si="52"/>
        <v/>
      </c>
      <c r="U29" s="42" t="str">
        <f t="shared" si="52"/>
        <v/>
      </c>
      <c r="V29" s="42" t="str">
        <f t="shared" si="52"/>
        <v/>
      </c>
      <c r="W29" s="42" t="str">
        <f t="shared" si="53"/>
        <v/>
      </c>
      <c r="X29" s="42" t="str">
        <f t="shared" si="53"/>
        <v/>
      </c>
      <c r="Y29" s="42" t="str">
        <f t="shared" si="53"/>
        <v/>
      </c>
      <c r="Z29" s="42" t="str">
        <f t="shared" si="53"/>
        <v/>
      </c>
      <c r="AA29" s="42" t="str">
        <f t="shared" si="53"/>
        <v/>
      </c>
      <c r="AB29" s="42" t="str">
        <f t="shared" si="53"/>
        <v/>
      </c>
      <c r="AC29" s="42" t="str">
        <f t="shared" si="53"/>
        <v/>
      </c>
      <c r="AD29" s="42" t="str">
        <f t="shared" si="53"/>
        <v/>
      </c>
      <c r="AE29" s="42" t="str">
        <f t="shared" si="53"/>
        <v/>
      </c>
      <c r="AF29" s="42" t="str">
        <f t="shared" si="53"/>
        <v/>
      </c>
      <c r="AG29" s="42" t="str">
        <f t="shared" si="53"/>
        <v/>
      </c>
      <c r="AH29" s="42" t="str">
        <f t="shared" si="53"/>
        <v/>
      </c>
      <c r="AI29" s="42" t="str">
        <f t="shared" si="53"/>
        <v/>
      </c>
      <c r="AJ29" s="42" t="str">
        <f t="shared" si="53"/>
        <v/>
      </c>
      <c r="AK29" s="42" t="str">
        <f t="shared" si="53"/>
        <v/>
      </c>
      <c r="AL29" s="42" t="str">
        <f t="shared" si="53"/>
        <v/>
      </c>
      <c r="AM29" s="42" t="str">
        <f t="shared" si="53"/>
        <v/>
      </c>
      <c r="AN29" s="42" t="str">
        <f t="shared" si="53"/>
        <v/>
      </c>
      <c r="AO29" s="42" t="str">
        <f t="shared" si="53"/>
        <v/>
      </c>
      <c r="AP29" s="42" t="str">
        <f t="shared" si="53"/>
        <v/>
      </c>
      <c r="AQ29" s="42" t="str">
        <f t="shared" si="53"/>
        <v/>
      </c>
      <c r="AR29" s="42" t="str">
        <f t="shared" si="53"/>
        <v/>
      </c>
      <c r="AS29" s="42" t="str">
        <f t="shared" si="53"/>
        <v/>
      </c>
      <c r="AT29" s="42" t="str">
        <f t="shared" si="53"/>
        <v/>
      </c>
      <c r="AU29" s="42" t="str">
        <f t="shared" si="53"/>
        <v/>
      </c>
      <c r="AV29" s="42" t="str">
        <f t="shared" si="53"/>
        <v/>
      </c>
      <c r="AW29" s="42" t="str">
        <f t="shared" si="53"/>
        <v/>
      </c>
      <c r="AX29" s="42" t="str">
        <f t="shared" si="53"/>
        <v/>
      </c>
      <c r="AY29" s="42" t="str">
        <f t="shared" si="54"/>
        <v/>
      </c>
    </row>
    <row r="30" spans="2:51" ht="45" customHeight="1" x14ac:dyDescent="0.2">
      <c r="B30" s="29" t="s">
        <v>8</v>
      </c>
      <c r="C30" s="30" t="s">
        <v>20</v>
      </c>
      <c r="D30" s="31">
        <v>46062</v>
      </c>
      <c r="E30" s="32">
        <v>1</v>
      </c>
      <c r="F30" s="33"/>
      <c r="G30" s="34" t="str">
        <f t="shared" si="52"/>
        <v/>
      </c>
      <c r="H30" s="35" t="str">
        <f t="shared" si="52"/>
        <v/>
      </c>
      <c r="I30" s="82" t="str">
        <f t="shared" si="52"/>
        <v/>
      </c>
      <c r="J30" s="35" t="str">
        <f t="shared" si="52"/>
        <v/>
      </c>
      <c r="K30" s="35" t="str">
        <f t="shared" si="52"/>
        <v/>
      </c>
      <c r="L30" s="36" t="str">
        <f t="shared" si="52"/>
        <v/>
      </c>
      <c r="M30" s="35" t="str">
        <f t="shared" si="52"/>
        <v/>
      </c>
      <c r="N30" s="35" t="str">
        <f t="shared" si="52"/>
        <v/>
      </c>
      <c r="O30" s="35" t="str">
        <f t="shared" si="52"/>
        <v/>
      </c>
      <c r="P30" s="35" t="str">
        <f t="shared" si="52"/>
        <v/>
      </c>
      <c r="Q30" s="35" t="str">
        <f t="shared" si="52"/>
        <v/>
      </c>
      <c r="R30" s="35" t="str">
        <f t="shared" si="52"/>
        <v/>
      </c>
      <c r="S30" s="35" t="str">
        <f t="shared" si="52"/>
        <v/>
      </c>
      <c r="T30" s="35" t="str">
        <f t="shared" si="52"/>
        <v/>
      </c>
      <c r="U30" s="35" t="str">
        <f t="shared" si="52"/>
        <v/>
      </c>
      <c r="V30" s="35" t="str">
        <f t="shared" si="52"/>
        <v/>
      </c>
      <c r="W30" s="35" t="str">
        <f t="shared" si="53"/>
        <v/>
      </c>
      <c r="X30" s="35" t="str">
        <f t="shared" si="53"/>
        <v/>
      </c>
      <c r="Y30" s="35" t="str">
        <f t="shared" si="53"/>
        <v/>
      </c>
      <c r="Z30" s="35" t="str">
        <f t="shared" si="53"/>
        <v/>
      </c>
      <c r="AA30" s="35" t="str">
        <f t="shared" si="53"/>
        <v/>
      </c>
      <c r="AB30" s="35" t="str">
        <f t="shared" si="53"/>
        <v/>
      </c>
      <c r="AC30" s="35" t="str">
        <f t="shared" si="53"/>
        <v/>
      </c>
      <c r="AD30" s="35" t="str">
        <f t="shared" si="53"/>
        <v/>
      </c>
      <c r="AE30" s="35" t="str">
        <f t="shared" si="53"/>
        <v/>
      </c>
      <c r="AF30" s="35" t="str">
        <f t="shared" si="53"/>
        <v/>
      </c>
      <c r="AG30" s="35" t="str">
        <f t="shared" si="53"/>
        <v/>
      </c>
      <c r="AH30" s="35" t="str">
        <f t="shared" si="53"/>
        <v/>
      </c>
      <c r="AI30" s="35" t="str">
        <f t="shared" si="53"/>
        <v/>
      </c>
      <c r="AJ30" s="35" t="str">
        <f t="shared" si="53"/>
        <v/>
      </c>
      <c r="AK30" s="35" t="str">
        <f t="shared" si="53"/>
        <v/>
      </c>
      <c r="AL30" s="35" t="str">
        <f t="shared" si="53"/>
        <v/>
      </c>
      <c r="AM30" s="35" t="str">
        <f t="shared" si="53"/>
        <v/>
      </c>
      <c r="AN30" s="35" t="str">
        <f t="shared" si="53"/>
        <v/>
      </c>
      <c r="AO30" s="35" t="str">
        <f t="shared" si="53"/>
        <v/>
      </c>
      <c r="AP30" s="35" t="str">
        <f t="shared" si="53"/>
        <v/>
      </c>
      <c r="AQ30" s="35" t="str">
        <f t="shared" si="53"/>
        <v/>
      </c>
      <c r="AR30" s="35" t="str">
        <f t="shared" si="53"/>
        <v/>
      </c>
      <c r="AS30" s="35" t="str">
        <f t="shared" si="53"/>
        <v/>
      </c>
      <c r="AT30" s="35" t="str">
        <f t="shared" si="53"/>
        <v/>
      </c>
      <c r="AU30" s="35" t="str">
        <f t="shared" si="53"/>
        <v/>
      </c>
      <c r="AV30" s="35" t="str">
        <f t="shared" si="53"/>
        <v/>
      </c>
      <c r="AW30" s="35" t="str">
        <f t="shared" si="53"/>
        <v/>
      </c>
      <c r="AX30" s="35" t="str">
        <f t="shared" si="53"/>
        <v/>
      </c>
      <c r="AY30" s="35" t="str">
        <f t="shared" si="54"/>
        <v/>
      </c>
    </row>
    <row r="31" spans="2:51" ht="45" customHeight="1" x14ac:dyDescent="0.2">
      <c r="B31" s="38" t="s">
        <v>9</v>
      </c>
      <c r="C31" s="54" t="s">
        <v>20</v>
      </c>
      <c r="D31" s="46">
        <v>46063</v>
      </c>
      <c r="E31" s="40">
        <v>1</v>
      </c>
      <c r="F31" s="33"/>
      <c r="G31" s="42" t="str">
        <f t="shared" si="52"/>
        <v/>
      </c>
      <c r="H31" s="37" t="str">
        <f t="shared" si="52"/>
        <v/>
      </c>
      <c r="I31" s="42" t="str">
        <f t="shared" si="52"/>
        <v/>
      </c>
      <c r="J31" s="42" t="str">
        <f t="shared" si="52"/>
        <v/>
      </c>
      <c r="K31" s="42" t="str">
        <f t="shared" si="52"/>
        <v/>
      </c>
      <c r="L31" s="41" t="str">
        <f t="shared" si="52"/>
        <v/>
      </c>
      <c r="M31" s="41" t="str">
        <f t="shared" si="52"/>
        <v/>
      </c>
      <c r="N31" s="41" t="str">
        <f t="shared" si="52"/>
        <v/>
      </c>
      <c r="O31" s="41" t="str">
        <f t="shared" si="52"/>
        <v/>
      </c>
      <c r="P31" s="41" t="str">
        <f t="shared" ref="P31" si="55">IF(AND($C31="Goal",P$4&gt;=$D31,P$4&lt;=$D31+$E31-1),2,IF(AND($C31="Milestone",P$4&gt;=$D31,P$4&lt;=$D31+$E31-1),1,""))</f>
        <v/>
      </c>
      <c r="Q31" s="42" t="str">
        <f t="shared" si="52"/>
        <v/>
      </c>
      <c r="R31" s="42" t="str">
        <f t="shared" si="52"/>
        <v/>
      </c>
      <c r="S31" s="42" t="str">
        <f t="shared" si="52"/>
        <v/>
      </c>
      <c r="T31" s="42" t="str">
        <f t="shared" si="52"/>
        <v/>
      </c>
      <c r="U31" s="42" t="str">
        <f t="shared" si="52"/>
        <v/>
      </c>
      <c r="V31" s="42" t="str">
        <f t="shared" si="52"/>
        <v/>
      </c>
      <c r="W31" s="42" t="str">
        <f t="shared" si="53"/>
        <v/>
      </c>
      <c r="X31" s="42" t="str">
        <f t="shared" si="53"/>
        <v/>
      </c>
      <c r="Y31" s="42" t="str">
        <f t="shared" si="53"/>
        <v/>
      </c>
      <c r="Z31" s="42" t="str">
        <f t="shared" si="53"/>
        <v/>
      </c>
      <c r="AA31" s="42" t="str">
        <f t="shared" si="53"/>
        <v/>
      </c>
      <c r="AB31" s="42" t="str">
        <f t="shared" si="53"/>
        <v/>
      </c>
      <c r="AC31" s="42" t="str">
        <f t="shared" si="53"/>
        <v/>
      </c>
      <c r="AD31" s="42" t="str">
        <f t="shared" si="53"/>
        <v/>
      </c>
      <c r="AE31" s="42" t="str">
        <f t="shared" si="53"/>
        <v/>
      </c>
      <c r="AF31" s="42" t="str">
        <f t="shared" si="53"/>
        <v/>
      </c>
      <c r="AG31" s="42" t="str">
        <f t="shared" si="53"/>
        <v/>
      </c>
      <c r="AH31" s="42" t="str">
        <f t="shared" si="53"/>
        <v/>
      </c>
      <c r="AI31" s="42" t="str">
        <f t="shared" si="53"/>
        <v/>
      </c>
      <c r="AJ31" s="42" t="str">
        <f t="shared" si="53"/>
        <v/>
      </c>
      <c r="AK31" s="42" t="str">
        <f t="shared" si="53"/>
        <v/>
      </c>
      <c r="AL31" s="42" t="str">
        <f t="shared" si="53"/>
        <v/>
      </c>
      <c r="AM31" s="42" t="str">
        <f t="shared" si="53"/>
        <v/>
      </c>
      <c r="AN31" s="42" t="str">
        <f t="shared" si="53"/>
        <v/>
      </c>
      <c r="AO31" s="42" t="str">
        <f t="shared" si="53"/>
        <v/>
      </c>
      <c r="AP31" s="42" t="str">
        <f t="shared" si="53"/>
        <v/>
      </c>
      <c r="AQ31" s="42" t="str">
        <f t="shared" si="53"/>
        <v/>
      </c>
      <c r="AR31" s="42" t="str">
        <f t="shared" si="53"/>
        <v/>
      </c>
      <c r="AS31" s="42" t="str">
        <f t="shared" si="53"/>
        <v/>
      </c>
      <c r="AT31" s="42" t="str">
        <f t="shared" si="53"/>
        <v/>
      </c>
      <c r="AU31" s="42" t="str">
        <f t="shared" si="53"/>
        <v/>
      </c>
      <c r="AV31" s="42" t="str">
        <f t="shared" si="53"/>
        <v/>
      </c>
      <c r="AW31" s="42" t="str">
        <f t="shared" si="53"/>
        <v/>
      </c>
      <c r="AX31" s="42" t="str">
        <f t="shared" si="53"/>
        <v/>
      </c>
      <c r="AY31" s="42" t="str">
        <f t="shared" si="54"/>
        <v/>
      </c>
    </row>
    <row r="32" spans="2:51" ht="45" customHeight="1" x14ac:dyDescent="0.2">
      <c r="B32" s="29" t="s">
        <v>11</v>
      </c>
      <c r="C32" s="30" t="s">
        <v>21</v>
      </c>
      <c r="D32" s="31">
        <v>46069</v>
      </c>
      <c r="E32" s="32">
        <v>1</v>
      </c>
      <c r="F32" s="33"/>
      <c r="G32" s="34" t="str">
        <f t="shared" si="52"/>
        <v/>
      </c>
      <c r="H32" s="35" t="str">
        <f t="shared" si="52"/>
        <v/>
      </c>
      <c r="I32" s="36" t="str">
        <f t="shared" si="52"/>
        <v/>
      </c>
      <c r="J32" s="35" t="str">
        <f t="shared" si="52"/>
        <v/>
      </c>
      <c r="K32" s="35" t="str">
        <f t="shared" si="52"/>
        <v/>
      </c>
      <c r="L32" s="35" t="str">
        <f t="shared" si="52"/>
        <v/>
      </c>
      <c r="M32" s="35" t="str">
        <f t="shared" si="52"/>
        <v/>
      </c>
      <c r="N32" s="37" t="str">
        <f t="shared" si="52"/>
        <v/>
      </c>
      <c r="O32" s="35" t="str">
        <f t="shared" si="52"/>
        <v/>
      </c>
      <c r="P32" s="35" t="str">
        <f t="shared" si="52"/>
        <v/>
      </c>
      <c r="Q32" s="36" t="str">
        <f t="shared" si="52"/>
        <v/>
      </c>
      <c r="R32" s="36" t="str">
        <f t="shared" si="52"/>
        <v/>
      </c>
      <c r="S32" s="36" t="str">
        <f t="shared" si="52"/>
        <v/>
      </c>
      <c r="T32" s="36" t="str">
        <f t="shared" si="52"/>
        <v/>
      </c>
      <c r="U32" s="36" t="str">
        <f t="shared" si="52"/>
        <v/>
      </c>
      <c r="V32" s="36" t="str">
        <f t="shared" si="52"/>
        <v/>
      </c>
      <c r="W32" s="36" t="str">
        <f t="shared" si="53"/>
        <v/>
      </c>
      <c r="X32" s="36" t="str">
        <f t="shared" si="53"/>
        <v/>
      </c>
      <c r="Y32" s="36" t="str">
        <f t="shared" si="53"/>
        <v/>
      </c>
      <c r="Z32" s="36" t="str">
        <f t="shared" si="53"/>
        <v/>
      </c>
      <c r="AA32" s="36" t="str">
        <f t="shared" si="53"/>
        <v/>
      </c>
      <c r="AB32" s="36" t="str">
        <f t="shared" si="53"/>
        <v/>
      </c>
      <c r="AC32" s="35" t="str">
        <f t="shared" si="53"/>
        <v/>
      </c>
      <c r="AD32" s="36" t="str">
        <f t="shared" si="53"/>
        <v/>
      </c>
      <c r="AE32" s="35" t="str">
        <f t="shared" si="53"/>
        <v/>
      </c>
      <c r="AF32" s="35" t="str">
        <f t="shared" si="53"/>
        <v/>
      </c>
      <c r="AG32" s="35" t="str">
        <f t="shared" si="53"/>
        <v/>
      </c>
      <c r="AH32" s="34" t="str">
        <f t="shared" si="53"/>
        <v/>
      </c>
      <c r="AI32" s="35" t="str">
        <f t="shared" si="53"/>
        <v/>
      </c>
      <c r="AJ32" s="36" t="str">
        <f t="shared" si="53"/>
        <v/>
      </c>
      <c r="AK32" s="35" t="str">
        <f t="shared" si="53"/>
        <v/>
      </c>
      <c r="AL32" s="35" t="str">
        <f t="shared" si="53"/>
        <v/>
      </c>
      <c r="AM32" s="35" t="str">
        <f t="shared" si="53"/>
        <v/>
      </c>
      <c r="AN32" s="35" t="str">
        <f t="shared" si="53"/>
        <v/>
      </c>
      <c r="AO32" s="35" t="str">
        <f t="shared" si="53"/>
        <v/>
      </c>
      <c r="AP32" s="35" t="str">
        <f t="shared" si="53"/>
        <v/>
      </c>
      <c r="AQ32" s="34" t="str">
        <f t="shared" si="53"/>
        <v/>
      </c>
      <c r="AR32" s="35" t="str">
        <f t="shared" si="53"/>
        <v/>
      </c>
      <c r="AS32" s="36" t="str">
        <f t="shared" si="53"/>
        <v/>
      </c>
      <c r="AT32" s="35" t="str">
        <f t="shared" si="53"/>
        <v/>
      </c>
      <c r="AU32" s="35" t="str">
        <f t="shared" si="53"/>
        <v/>
      </c>
      <c r="AV32" s="35" t="str">
        <f t="shared" si="53"/>
        <v/>
      </c>
      <c r="AW32" s="35" t="str">
        <f t="shared" si="53"/>
        <v/>
      </c>
      <c r="AX32" s="35" t="str">
        <f t="shared" si="53"/>
        <v/>
      </c>
      <c r="AY32" s="36" t="str">
        <f t="shared" si="54"/>
        <v/>
      </c>
    </row>
    <row r="33" spans="2:51" ht="45" customHeight="1" x14ac:dyDescent="0.2">
      <c r="B33" s="38" t="s">
        <v>10</v>
      </c>
      <c r="C33" s="54" t="s">
        <v>21</v>
      </c>
      <c r="D33" s="46">
        <v>46069</v>
      </c>
      <c r="E33" s="40">
        <v>2</v>
      </c>
      <c r="F33" s="33"/>
      <c r="G33" s="42" t="str">
        <f t="shared" si="52"/>
        <v/>
      </c>
      <c r="H33" s="42" t="str">
        <f t="shared" si="52"/>
        <v/>
      </c>
      <c r="I33" s="42" t="str">
        <f t="shared" si="52"/>
        <v/>
      </c>
      <c r="J33" s="42" t="str">
        <f t="shared" si="52"/>
        <v/>
      </c>
      <c r="K33" s="42" t="str">
        <f t="shared" si="52"/>
        <v/>
      </c>
      <c r="L33" s="37" t="str">
        <f t="shared" si="52"/>
        <v/>
      </c>
      <c r="M33" s="37" t="str">
        <f t="shared" si="52"/>
        <v/>
      </c>
      <c r="N33" s="42" t="str">
        <f t="shared" si="52"/>
        <v/>
      </c>
      <c r="O33" s="41" t="str">
        <f t="shared" ref="O33:T33" si="56">IF(AND($C33="Goal",O$4&gt;=$D33,O$4&lt;=$D33+$E33-1),2,IF(AND($C33="Milestone",O$4&gt;=$D33,O$4&lt;=$D33+$E33-1),1,""))</f>
        <v/>
      </c>
      <c r="P33" s="41" t="str">
        <f t="shared" si="56"/>
        <v/>
      </c>
      <c r="Q33" s="41" t="str">
        <f t="shared" si="56"/>
        <v/>
      </c>
      <c r="R33" s="41" t="str">
        <f t="shared" si="56"/>
        <v/>
      </c>
      <c r="S33" s="41" t="str">
        <f t="shared" si="56"/>
        <v/>
      </c>
      <c r="T33" s="41" t="str">
        <f t="shared" si="56"/>
        <v/>
      </c>
      <c r="U33" s="42" t="str">
        <f t="shared" si="52"/>
        <v/>
      </c>
      <c r="V33" s="42" t="str">
        <f t="shared" si="52"/>
        <v/>
      </c>
      <c r="W33" s="42" t="str">
        <f t="shared" si="53"/>
        <v/>
      </c>
      <c r="X33" s="42" t="str">
        <f t="shared" si="53"/>
        <v/>
      </c>
      <c r="Y33" s="42" t="str">
        <f t="shared" si="53"/>
        <v/>
      </c>
      <c r="Z33" s="42" t="str">
        <f t="shared" si="53"/>
        <v/>
      </c>
      <c r="AA33" s="42" t="str">
        <f t="shared" si="53"/>
        <v/>
      </c>
      <c r="AB33" s="42" t="str">
        <f t="shared" si="53"/>
        <v/>
      </c>
      <c r="AC33" s="42" t="str">
        <f t="shared" si="53"/>
        <v/>
      </c>
      <c r="AD33" s="42" t="str">
        <f t="shared" si="53"/>
        <v/>
      </c>
      <c r="AE33" s="42" t="str">
        <f t="shared" si="53"/>
        <v/>
      </c>
      <c r="AF33" s="42" t="str">
        <f t="shared" si="53"/>
        <v/>
      </c>
      <c r="AG33" s="42" t="str">
        <f t="shared" si="53"/>
        <v/>
      </c>
      <c r="AH33" s="42" t="str">
        <f t="shared" si="53"/>
        <v/>
      </c>
      <c r="AI33" s="42" t="str">
        <f t="shared" si="53"/>
        <v/>
      </c>
      <c r="AJ33" s="42" t="str">
        <f t="shared" si="53"/>
        <v/>
      </c>
      <c r="AK33" s="42" t="str">
        <f t="shared" si="53"/>
        <v/>
      </c>
      <c r="AL33" s="42" t="str">
        <f t="shared" si="53"/>
        <v/>
      </c>
      <c r="AM33" s="42" t="str">
        <f t="shared" si="53"/>
        <v/>
      </c>
      <c r="AN33" s="42" t="str">
        <f t="shared" si="53"/>
        <v/>
      </c>
      <c r="AO33" s="42" t="str">
        <f t="shared" si="53"/>
        <v/>
      </c>
      <c r="AP33" s="42" t="str">
        <f t="shared" si="53"/>
        <v/>
      </c>
      <c r="AQ33" s="42" t="str">
        <f t="shared" si="53"/>
        <v/>
      </c>
      <c r="AR33" s="42" t="str">
        <f t="shared" si="53"/>
        <v/>
      </c>
      <c r="AS33" s="42" t="str">
        <f t="shared" si="53"/>
        <v/>
      </c>
      <c r="AT33" s="42" t="str">
        <f t="shared" si="53"/>
        <v/>
      </c>
      <c r="AU33" s="42" t="str">
        <f t="shared" si="53"/>
        <v/>
      </c>
      <c r="AV33" s="42" t="str">
        <f t="shared" si="53"/>
        <v/>
      </c>
      <c r="AW33" s="42" t="str">
        <f t="shared" si="53"/>
        <v/>
      </c>
      <c r="AX33" s="42" t="str">
        <f t="shared" si="53"/>
        <v/>
      </c>
      <c r="AY33" s="42" t="str">
        <f t="shared" si="54"/>
        <v/>
      </c>
    </row>
    <row r="34" spans="2:51" ht="45" customHeight="1" x14ac:dyDescent="0.2">
      <c r="B34" s="29" t="s">
        <v>12</v>
      </c>
      <c r="C34" s="44" t="s">
        <v>21</v>
      </c>
      <c r="D34" s="31">
        <v>46071</v>
      </c>
      <c r="E34" s="32">
        <v>2</v>
      </c>
      <c r="F34" s="33"/>
      <c r="G34" s="34" t="str">
        <f t="shared" si="52"/>
        <v/>
      </c>
      <c r="H34" s="35" t="str">
        <f t="shared" si="52"/>
        <v/>
      </c>
      <c r="I34" s="36" t="str">
        <f t="shared" si="52"/>
        <v/>
      </c>
      <c r="J34" s="35" t="str">
        <f t="shared" si="52"/>
        <v/>
      </c>
      <c r="K34" s="35" t="str">
        <f t="shared" si="52"/>
        <v/>
      </c>
      <c r="L34" s="35" t="str">
        <f t="shared" si="52"/>
        <v/>
      </c>
      <c r="M34" s="35" t="str">
        <f t="shared" si="52"/>
        <v/>
      </c>
      <c r="N34" s="35" t="str">
        <f t="shared" si="52"/>
        <v/>
      </c>
      <c r="O34" s="35" t="str">
        <f t="shared" si="52"/>
        <v/>
      </c>
      <c r="P34" s="35" t="str">
        <f t="shared" si="52"/>
        <v/>
      </c>
      <c r="Q34" s="35" t="str">
        <f t="shared" si="52"/>
        <v/>
      </c>
      <c r="R34" s="36" t="str">
        <f t="shared" si="52"/>
        <v/>
      </c>
      <c r="S34" s="36" t="str">
        <f t="shared" si="52"/>
        <v/>
      </c>
      <c r="T34" s="36" t="str">
        <f t="shared" si="52"/>
        <v/>
      </c>
      <c r="U34" s="36" t="str">
        <f t="shared" si="52"/>
        <v/>
      </c>
      <c r="V34" s="36" t="str">
        <f t="shared" si="52"/>
        <v/>
      </c>
      <c r="W34" s="36" t="str">
        <f t="shared" si="53"/>
        <v/>
      </c>
      <c r="X34" s="36" t="str">
        <f t="shared" si="53"/>
        <v/>
      </c>
      <c r="Y34" s="36" t="str">
        <f t="shared" ref="Y34:AF35" si="57">IF(AND($C34="Goal",Y$4&gt;=$D34,Y$4&lt;=$D34+$E34-1),2,IF(AND($C34="Milestone",Y$4&gt;=$D34,Y$4&lt;=$D34+$E34-1),1,""))</f>
        <v/>
      </c>
      <c r="Z34" s="36" t="str">
        <f t="shared" si="57"/>
        <v/>
      </c>
      <c r="AA34" s="36" t="str">
        <f t="shared" si="57"/>
        <v/>
      </c>
      <c r="AB34" s="82" t="str">
        <f t="shared" si="57"/>
        <v/>
      </c>
      <c r="AC34" s="82" t="str">
        <f t="shared" si="57"/>
        <v/>
      </c>
      <c r="AD34" s="36" t="str">
        <f t="shared" si="53"/>
        <v/>
      </c>
      <c r="AE34" s="35" t="str">
        <f t="shared" si="53"/>
        <v/>
      </c>
      <c r="AF34" s="35" t="str">
        <f t="shared" si="53"/>
        <v/>
      </c>
      <c r="AG34" s="35" t="str">
        <f t="shared" si="53"/>
        <v/>
      </c>
      <c r="AH34" s="34" t="str">
        <f t="shared" si="53"/>
        <v/>
      </c>
      <c r="AI34" s="35" t="str">
        <f t="shared" si="53"/>
        <v/>
      </c>
      <c r="AJ34" s="36" t="str">
        <f t="shared" si="53"/>
        <v/>
      </c>
      <c r="AK34" s="35" t="str">
        <f t="shared" si="53"/>
        <v/>
      </c>
      <c r="AL34" s="35" t="str">
        <f t="shared" si="53"/>
        <v/>
      </c>
      <c r="AM34" s="35" t="str">
        <f t="shared" si="53"/>
        <v/>
      </c>
      <c r="AN34" s="35" t="str">
        <f t="shared" si="53"/>
        <v/>
      </c>
      <c r="AO34" s="35" t="str">
        <f t="shared" si="53"/>
        <v/>
      </c>
      <c r="AP34" s="35" t="str">
        <f t="shared" si="53"/>
        <v/>
      </c>
      <c r="AQ34" s="34" t="str">
        <f t="shared" si="53"/>
        <v/>
      </c>
      <c r="AR34" s="35" t="str">
        <f t="shared" si="53"/>
        <v/>
      </c>
      <c r="AS34" s="36" t="str">
        <f t="shared" si="53"/>
        <v/>
      </c>
      <c r="AT34" s="35" t="str">
        <f t="shared" si="53"/>
        <v/>
      </c>
      <c r="AU34" s="35" t="str">
        <f t="shared" si="53"/>
        <v/>
      </c>
      <c r="AV34" s="35" t="str">
        <f t="shared" si="53"/>
        <v/>
      </c>
      <c r="AW34" s="35" t="str">
        <f t="shared" si="53"/>
        <v/>
      </c>
      <c r="AX34" s="35" t="str">
        <f t="shared" si="53"/>
        <v/>
      </c>
      <c r="AY34" s="36" t="str">
        <f t="shared" si="54"/>
        <v/>
      </c>
    </row>
    <row r="35" spans="2:51" ht="45" customHeight="1" x14ac:dyDescent="0.2">
      <c r="B35" s="38" t="s">
        <v>13</v>
      </c>
      <c r="C35" s="39" t="s">
        <v>21</v>
      </c>
      <c r="D35" s="46">
        <v>46083</v>
      </c>
      <c r="E35" s="40">
        <v>2</v>
      </c>
      <c r="F35" s="33"/>
      <c r="G35" s="42" t="str">
        <f t="shared" si="52"/>
        <v/>
      </c>
      <c r="H35" s="42" t="str">
        <f t="shared" si="52"/>
        <v/>
      </c>
      <c r="I35" s="42" t="str">
        <f t="shared" si="52"/>
        <v/>
      </c>
      <c r="J35" s="42" t="str">
        <f t="shared" si="52"/>
        <v/>
      </c>
      <c r="K35" s="42" t="str">
        <f t="shared" si="52"/>
        <v/>
      </c>
      <c r="L35" s="42" t="str">
        <f t="shared" si="52"/>
        <v/>
      </c>
      <c r="M35" s="42" t="str">
        <f t="shared" si="52"/>
        <v/>
      </c>
      <c r="N35" s="42" t="str">
        <f t="shared" si="52"/>
        <v/>
      </c>
      <c r="O35" s="42" t="str">
        <f t="shared" si="52"/>
        <v/>
      </c>
      <c r="P35" s="42" t="str">
        <f t="shared" si="52"/>
        <v/>
      </c>
      <c r="Q35" s="42" t="str">
        <f t="shared" si="52"/>
        <v/>
      </c>
      <c r="R35" s="42" t="str">
        <f t="shared" si="52"/>
        <v/>
      </c>
      <c r="S35" s="42" t="str">
        <f t="shared" si="52"/>
        <v/>
      </c>
      <c r="T35" s="42" t="str">
        <f t="shared" si="52"/>
        <v/>
      </c>
      <c r="U35" s="42" t="str">
        <f t="shared" si="52"/>
        <v/>
      </c>
      <c r="V35" s="42" t="str">
        <f t="shared" si="52"/>
        <v/>
      </c>
      <c r="W35" s="42" t="str">
        <f t="shared" si="53"/>
        <v/>
      </c>
      <c r="X35" s="42" t="str">
        <f t="shared" si="53"/>
        <v/>
      </c>
      <c r="Y35" s="41" t="str">
        <f t="shared" si="57"/>
        <v/>
      </c>
      <c r="Z35" s="41" t="str">
        <f t="shared" si="57"/>
        <v/>
      </c>
      <c r="AA35" s="41" t="str">
        <f t="shared" si="57"/>
        <v/>
      </c>
      <c r="AB35" s="41" t="str">
        <f t="shared" si="57"/>
        <v/>
      </c>
      <c r="AC35" s="73" t="str">
        <f t="shared" si="57"/>
        <v/>
      </c>
      <c r="AD35" s="41" t="str">
        <f t="shared" si="57"/>
        <v/>
      </c>
      <c r="AE35" s="41" t="str">
        <f t="shared" si="57"/>
        <v/>
      </c>
      <c r="AF35" s="73" t="str">
        <f t="shared" si="57"/>
        <v/>
      </c>
      <c r="AG35" s="42" t="str">
        <f t="shared" si="53"/>
        <v/>
      </c>
      <c r="AH35" s="42" t="str">
        <f t="shared" si="53"/>
        <v/>
      </c>
      <c r="AI35" s="42" t="str">
        <f t="shared" si="53"/>
        <v/>
      </c>
      <c r="AJ35" s="42" t="str">
        <f t="shared" si="53"/>
        <v/>
      </c>
      <c r="AK35" s="42" t="str">
        <f t="shared" si="53"/>
        <v/>
      </c>
      <c r="AL35" s="42" t="str">
        <f t="shared" si="53"/>
        <v/>
      </c>
      <c r="AM35" s="42" t="str">
        <f t="shared" si="53"/>
        <v/>
      </c>
      <c r="AN35" s="42" t="str">
        <f t="shared" si="53"/>
        <v/>
      </c>
      <c r="AO35" s="42" t="str">
        <f t="shared" si="53"/>
        <v/>
      </c>
      <c r="AP35" s="42" t="str">
        <f t="shared" si="53"/>
        <v/>
      </c>
      <c r="AQ35" s="42" t="str">
        <f t="shared" si="53"/>
        <v/>
      </c>
      <c r="AR35" s="42" t="str">
        <f t="shared" si="53"/>
        <v/>
      </c>
      <c r="AS35" s="42" t="str">
        <f t="shared" si="53"/>
        <v/>
      </c>
      <c r="AT35" s="42" t="str">
        <f t="shared" si="53"/>
        <v/>
      </c>
      <c r="AU35" s="42" t="str">
        <f t="shared" si="53"/>
        <v/>
      </c>
      <c r="AV35" s="42" t="str">
        <f t="shared" si="53"/>
        <v/>
      </c>
      <c r="AW35" s="42" t="str">
        <f t="shared" si="53"/>
        <v/>
      </c>
      <c r="AX35" s="42" t="str">
        <f t="shared" si="53"/>
        <v/>
      </c>
      <c r="AY35" s="42" t="str">
        <f t="shared" si="54"/>
        <v/>
      </c>
    </row>
    <row r="36" spans="2:51" ht="45" customHeight="1" x14ac:dyDescent="0.2">
      <c r="B36" s="29" t="s">
        <v>14</v>
      </c>
      <c r="C36" s="30" t="s">
        <v>20</v>
      </c>
      <c r="D36" s="31">
        <v>46084</v>
      </c>
      <c r="E36" s="32">
        <v>2</v>
      </c>
      <c r="F36" s="33"/>
      <c r="G36" s="34" t="str">
        <f t="shared" si="52"/>
        <v/>
      </c>
      <c r="H36" s="35" t="str">
        <f t="shared" si="52"/>
        <v/>
      </c>
      <c r="I36" s="36" t="str">
        <f t="shared" si="52"/>
        <v/>
      </c>
      <c r="J36" s="35" t="str">
        <f t="shared" si="52"/>
        <v/>
      </c>
      <c r="K36" s="35" t="str">
        <f t="shared" si="52"/>
        <v/>
      </c>
      <c r="L36" s="35" t="str">
        <f t="shared" si="52"/>
        <v/>
      </c>
      <c r="M36" s="35" t="str">
        <f t="shared" si="52"/>
        <v/>
      </c>
      <c r="N36" s="35" t="str">
        <f t="shared" si="52"/>
        <v/>
      </c>
      <c r="O36" s="35" t="str">
        <f t="shared" si="52"/>
        <v/>
      </c>
      <c r="P36" s="35" t="str">
        <f t="shared" si="52"/>
        <v/>
      </c>
      <c r="Q36" s="35" t="str">
        <f t="shared" si="52"/>
        <v/>
      </c>
      <c r="R36" s="35" t="str">
        <f t="shared" si="52"/>
        <v/>
      </c>
      <c r="S36" s="35" t="str">
        <f t="shared" si="52"/>
        <v/>
      </c>
      <c r="T36" s="35" t="str">
        <f t="shared" si="52"/>
        <v/>
      </c>
      <c r="U36" s="35" t="str">
        <f t="shared" si="52"/>
        <v/>
      </c>
      <c r="V36" s="35" t="str">
        <f t="shared" si="52"/>
        <v/>
      </c>
      <c r="W36" s="35" t="str">
        <f t="shared" si="53"/>
        <v/>
      </c>
      <c r="X36" s="35" t="str">
        <f t="shared" si="53"/>
        <v/>
      </c>
      <c r="Y36" s="34" t="str">
        <f t="shared" si="53"/>
        <v/>
      </c>
      <c r="Z36" s="36" t="str">
        <f t="shared" ref="Z36:AM37" si="58">IF(AND($C36="Goal",Z$4&gt;=$D36,Z$4&lt;=$D36+$E36-1),2,IF(AND($C36="Milestone",Z$4&gt;=$D36,Z$4&lt;=$D36+$E36-1),1,""))</f>
        <v/>
      </c>
      <c r="AA36" s="36" t="str">
        <f t="shared" si="58"/>
        <v/>
      </c>
      <c r="AB36" s="36" t="str">
        <f t="shared" si="58"/>
        <v/>
      </c>
      <c r="AC36" s="36" t="str">
        <f t="shared" si="58"/>
        <v/>
      </c>
      <c r="AD36" s="36" t="str">
        <f t="shared" si="58"/>
        <v/>
      </c>
      <c r="AE36" s="36" t="str">
        <f t="shared" si="58"/>
        <v/>
      </c>
      <c r="AF36" s="37" t="str">
        <f t="shared" si="53"/>
        <v/>
      </c>
      <c r="AG36" s="37" t="str">
        <f t="shared" si="53"/>
        <v/>
      </c>
      <c r="AH36" s="34" t="str">
        <f t="shared" si="53"/>
        <v/>
      </c>
      <c r="AI36" s="35" t="str">
        <f t="shared" si="53"/>
        <v/>
      </c>
      <c r="AJ36" s="36" t="str">
        <f t="shared" si="53"/>
        <v/>
      </c>
      <c r="AK36" s="35" t="str">
        <f t="shared" si="53"/>
        <v/>
      </c>
      <c r="AL36" s="35" t="str">
        <f t="shared" si="53"/>
        <v/>
      </c>
      <c r="AM36" s="35" t="str">
        <f t="shared" si="53"/>
        <v/>
      </c>
      <c r="AN36" s="35" t="str">
        <f t="shared" si="53"/>
        <v/>
      </c>
      <c r="AO36" s="35" t="str">
        <f t="shared" si="53"/>
        <v/>
      </c>
      <c r="AP36" s="35" t="str">
        <f t="shared" si="53"/>
        <v/>
      </c>
      <c r="AQ36" s="34" t="str">
        <f t="shared" si="53"/>
        <v/>
      </c>
      <c r="AR36" s="35" t="str">
        <f t="shared" si="53"/>
        <v/>
      </c>
      <c r="AS36" s="36" t="str">
        <f t="shared" si="53"/>
        <v/>
      </c>
      <c r="AT36" s="35" t="str">
        <f t="shared" si="53"/>
        <v/>
      </c>
      <c r="AU36" s="35" t="str">
        <f t="shared" ref="AU36:AX36" si="59">IF(AND($C36="Goal",AU$4&gt;=$D36,AU$4&lt;=$D36+$E36-1),2,IF(AND($C36="Milestone",AU$4&gt;=$D36,AU$4&lt;=$D36+$E36-1),1,""))</f>
        <v/>
      </c>
      <c r="AV36" s="35" t="str">
        <f t="shared" si="59"/>
        <v/>
      </c>
      <c r="AW36" s="35" t="str">
        <f t="shared" si="59"/>
        <v/>
      </c>
      <c r="AX36" s="35" t="str">
        <f t="shared" si="59"/>
        <v/>
      </c>
      <c r="AY36" s="36" t="str">
        <f t="shared" si="54"/>
        <v/>
      </c>
    </row>
    <row r="37" spans="2:51" ht="45" customHeight="1" x14ac:dyDescent="0.2">
      <c r="B37" s="38" t="s">
        <v>15</v>
      </c>
      <c r="C37" s="39" t="s">
        <v>21</v>
      </c>
      <c r="D37" s="46">
        <v>46085</v>
      </c>
      <c r="E37" s="40"/>
      <c r="F37" s="33"/>
      <c r="G37" s="42" t="str">
        <f t="shared" si="52"/>
        <v/>
      </c>
      <c r="H37" s="42" t="str">
        <f t="shared" si="52"/>
        <v/>
      </c>
      <c r="I37" s="42" t="str">
        <f t="shared" si="52"/>
        <v/>
      </c>
      <c r="J37" s="42" t="str">
        <f t="shared" si="52"/>
        <v/>
      </c>
      <c r="K37" s="42" t="str">
        <f t="shared" si="52"/>
        <v/>
      </c>
      <c r="L37" s="42" t="str">
        <f t="shared" si="52"/>
        <v/>
      </c>
      <c r="M37" s="42" t="str">
        <f t="shared" si="52"/>
        <v/>
      </c>
      <c r="N37" s="42" t="str">
        <f t="shared" si="52"/>
        <v/>
      </c>
      <c r="O37" s="42" t="str">
        <f t="shared" si="52"/>
        <v/>
      </c>
      <c r="P37" s="42" t="str">
        <f t="shared" si="52"/>
        <v/>
      </c>
      <c r="Q37" s="42" t="str">
        <f t="shared" si="52"/>
        <v/>
      </c>
      <c r="R37" s="42" t="str">
        <f t="shared" si="52"/>
        <v/>
      </c>
      <c r="S37" s="42" t="str">
        <f t="shared" si="52"/>
        <v/>
      </c>
      <c r="T37" s="42" t="str">
        <f t="shared" si="52"/>
        <v/>
      </c>
      <c r="U37" s="42" t="str">
        <f t="shared" si="52"/>
        <v/>
      </c>
      <c r="V37" s="42" t="str">
        <f t="shared" si="52"/>
        <v/>
      </c>
      <c r="W37" s="42" t="str">
        <f t="shared" ref="W37:AS41" si="60">IF(AND($C37="Goal",W$4&gt;=$D37,W$4&lt;=$D37+$E37-1),2,IF(AND($C37="Milestone",W$4&gt;=$D37,W$4&lt;=$D37+$E37-1),1,""))</f>
        <v/>
      </c>
      <c r="X37" s="42" t="str">
        <f t="shared" si="60"/>
        <v/>
      </c>
      <c r="Y37" s="42" t="str">
        <f t="shared" si="60"/>
        <v/>
      </c>
      <c r="Z37" s="42" t="str">
        <f t="shared" si="60"/>
        <v/>
      </c>
      <c r="AA37" s="42" t="str">
        <f t="shared" si="60"/>
        <v/>
      </c>
      <c r="AB37" s="41" t="str">
        <f t="shared" si="58"/>
        <v/>
      </c>
      <c r="AC37" s="41" t="str">
        <f t="shared" si="58"/>
        <v/>
      </c>
      <c r="AD37" s="41" t="str">
        <f t="shared" si="58"/>
        <v/>
      </c>
      <c r="AE37" s="41" t="str">
        <f t="shared" si="58"/>
        <v/>
      </c>
      <c r="AF37" s="73" t="str">
        <f t="shared" si="58"/>
        <v/>
      </c>
      <c r="AG37" s="41" t="str">
        <f t="shared" si="58"/>
        <v/>
      </c>
      <c r="AH37" s="73" t="str">
        <f t="shared" si="58"/>
        <v/>
      </c>
      <c r="AI37" s="41" t="str">
        <f t="shared" si="58"/>
        <v/>
      </c>
      <c r="AJ37" s="41" t="str">
        <f t="shared" si="58"/>
        <v/>
      </c>
      <c r="AK37" s="41" t="str">
        <f t="shared" si="58"/>
        <v/>
      </c>
      <c r="AL37" s="41" t="str">
        <f t="shared" si="58"/>
        <v/>
      </c>
      <c r="AM37" s="41" t="str">
        <f t="shared" si="58"/>
        <v/>
      </c>
      <c r="AN37" s="42" t="str">
        <f t="shared" si="60"/>
        <v/>
      </c>
      <c r="AO37" s="42" t="str">
        <f t="shared" si="60"/>
        <v/>
      </c>
      <c r="AP37" s="42" t="str">
        <f t="shared" si="60"/>
        <v/>
      </c>
      <c r="AQ37" s="42" t="str">
        <f t="shared" si="60"/>
        <v/>
      </c>
      <c r="AR37" s="42" t="str">
        <f t="shared" si="60"/>
        <v/>
      </c>
      <c r="AS37" s="42" t="str">
        <f t="shared" si="60"/>
        <v/>
      </c>
      <c r="AT37" s="42" t="str">
        <f t="shared" ref="AT37:AX41" si="61">IF(AND($C37="Goal",AT$4&gt;=$D37,AT$4&lt;=$D37+$E37-1),2,IF(AND($C37="Milestone",AT$4&gt;=$D37,AT$4&lt;=$D37+$E37-1),1,""))</f>
        <v/>
      </c>
      <c r="AU37" s="42" t="str">
        <f t="shared" si="61"/>
        <v/>
      </c>
      <c r="AV37" s="42" t="str">
        <f t="shared" si="61"/>
        <v/>
      </c>
      <c r="AW37" s="42" t="str">
        <f t="shared" si="61"/>
        <v/>
      </c>
      <c r="AX37" s="42" t="str">
        <f t="shared" si="61"/>
        <v/>
      </c>
      <c r="AY37" s="42" t="str">
        <f t="shared" si="54"/>
        <v/>
      </c>
    </row>
    <row r="38" spans="2:51" ht="45" customHeight="1" x14ac:dyDescent="0.2">
      <c r="B38" s="29" t="s">
        <v>16</v>
      </c>
      <c r="C38" s="30" t="s">
        <v>20</v>
      </c>
      <c r="D38" s="31">
        <v>46097</v>
      </c>
      <c r="E38" s="32"/>
      <c r="F38" s="33"/>
      <c r="G38" s="34" t="str">
        <f t="shared" si="52"/>
        <v/>
      </c>
      <c r="H38" s="35" t="str">
        <f t="shared" si="52"/>
        <v/>
      </c>
      <c r="I38" s="36" t="str">
        <f t="shared" si="52"/>
        <v/>
      </c>
      <c r="J38" s="35" t="str">
        <f t="shared" si="52"/>
        <v/>
      </c>
      <c r="K38" s="35" t="str">
        <f t="shared" si="52"/>
        <v/>
      </c>
      <c r="L38" s="37" t="str">
        <f t="shared" si="52"/>
        <v/>
      </c>
      <c r="M38" s="37" t="str">
        <f t="shared" si="52"/>
        <v/>
      </c>
      <c r="N38" s="35" t="str">
        <f t="shared" si="52"/>
        <v/>
      </c>
      <c r="O38" s="35" t="str">
        <f t="shared" si="52"/>
        <v/>
      </c>
      <c r="P38" s="35" t="str">
        <f t="shared" si="52"/>
        <v/>
      </c>
      <c r="Q38" s="35" t="str">
        <f t="shared" si="52"/>
        <v/>
      </c>
      <c r="R38" s="35" t="str">
        <f t="shared" si="52"/>
        <v/>
      </c>
      <c r="S38" s="35" t="str">
        <f t="shared" si="52"/>
        <v/>
      </c>
      <c r="T38" s="35" t="str">
        <f t="shared" si="52"/>
        <v/>
      </c>
      <c r="U38" s="35" t="str">
        <f t="shared" si="52"/>
        <v/>
      </c>
      <c r="V38" s="35" t="str">
        <f t="shared" si="52"/>
        <v/>
      </c>
      <c r="W38" s="35" t="str">
        <f t="shared" si="60"/>
        <v/>
      </c>
      <c r="X38" s="35" t="str">
        <f t="shared" si="60"/>
        <v/>
      </c>
      <c r="Y38" s="35" t="str">
        <f t="shared" si="60"/>
        <v/>
      </c>
      <c r="Z38" s="35" t="str">
        <f t="shared" si="60"/>
        <v/>
      </c>
      <c r="AA38" s="35" t="str">
        <f t="shared" si="60"/>
        <v/>
      </c>
      <c r="AB38" s="35" t="str">
        <f t="shared" si="60"/>
        <v/>
      </c>
      <c r="AC38" s="35" t="str">
        <f t="shared" si="60"/>
        <v/>
      </c>
      <c r="AD38" s="35" t="str">
        <f t="shared" si="60"/>
        <v/>
      </c>
      <c r="AE38" s="35" t="str">
        <f t="shared" si="60"/>
        <v/>
      </c>
      <c r="AF38" s="37" t="str">
        <f t="shared" si="60"/>
        <v/>
      </c>
      <c r="AG38" s="35" t="str">
        <f t="shared" si="60"/>
        <v/>
      </c>
      <c r="AH38" s="35" t="str">
        <f t="shared" si="60"/>
        <v/>
      </c>
      <c r="AI38" s="36" t="str">
        <f t="shared" si="60"/>
        <v/>
      </c>
      <c r="AJ38" s="36" t="str">
        <f t="shared" si="60"/>
        <v/>
      </c>
      <c r="AK38" s="36" t="str">
        <f t="shared" si="60"/>
        <v/>
      </c>
      <c r="AL38" s="36" t="str">
        <f t="shared" si="60"/>
        <v/>
      </c>
      <c r="AM38" s="36" t="str">
        <f t="shared" si="60"/>
        <v/>
      </c>
      <c r="AN38" s="36" t="str">
        <f t="shared" si="60"/>
        <v/>
      </c>
      <c r="AO38" s="35" t="str">
        <f t="shared" si="60"/>
        <v/>
      </c>
      <c r="AP38" s="35" t="str">
        <f t="shared" si="60"/>
        <v/>
      </c>
      <c r="AQ38" s="35" t="str">
        <f t="shared" si="60"/>
        <v/>
      </c>
      <c r="AR38" s="35" t="str">
        <f t="shared" si="60"/>
        <v/>
      </c>
      <c r="AS38" s="35" t="str">
        <f t="shared" si="60"/>
        <v/>
      </c>
      <c r="AT38" s="35" t="str">
        <f t="shared" si="61"/>
        <v/>
      </c>
      <c r="AU38" s="35" t="str">
        <f t="shared" si="61"/>
        <v/>
      </c>
      <c r="AV38" s="35" t="str">
        <f t="shared" si="61"/>
        <v/>
      </c>
      <c r="AW38" s="35" t="str">
        <f t="shared" si="61"/>
        <v/>
      </c>
      <c r="AX38" s="35" t="str">
        <f t="shared" si="61"/>
        <v/>
      </c>
      <c r="AY38" s="35" t="str">
        <f t="shared" si="54"/>
        <v/>
      </c>
    </row>
    <row r="39" spans="2:51" ht="45" customHeight="1" x14ac:dyDescent="0.2">
      <c r="B39" s="66" t="s">
        <v>17</v>
      </c>
      <c r="C39" s="54" t="s">
        <v>4</v>
      </c>
      <c r="D39" s="46">
        <v>46098</v>
      </c>
      <c r="E39" s="40"/>
      <c r="F39" s="33"/>
      <c r="G39" s="42" t="str">
        <f t="shared" si="52"/>
        <v/>
      </c>
      <c r="H39" s="42" t="str">
        <f t="shared" si="52"/>
        <v/>
      </c>
      <c r="I39" s="42" t="str">
        <f t="shared" si="52"/>
        <v/>
      </c>
      <c r="J39" s="42" t="str">
        <f t="shared" si="52"/>
        <v/>
      </c>
      <c r="K39" s="42" t="str">
        <f t="shared" si="52"/>
        <v/>
      </c>
      <c r="L39" s="42" t="str">
        <f t="shared" si="52"/>
        <v/>
      </c>
      <c r="M39" s="42" t="str">
        <f t="shared" si="52"/>
        <v/>
      </c>
      <c r="N39" s="42" t="str">
        <f t="shared" si="52"/>
        <v/>
      </c>
      <c r="O39" s="42" t="str">
        <f t="shared" si="52"/>
        <v/>
      </c>
      <c r="P39" s="42" t="str">
        <f t="shared" si="52"/>
        <v/>
      </c>
      <c r="Q39" s="42" t="str">
        <f t="shared" si="52"/>
        <v/>
      </c>
      <c r="R39" s="42" t="str">
        <f t="shared" si="52"/>
        <v/>
      </c>
      <c r="S39" s="42" t="str">
        <f t="shared" si="52"/>
        <v/>
      </c>
      <c r="T39" s="42" t="str">
        <f t="shared" si="52"/>
        <v/>
      </c>
      <c r="U39" s="42" t="str">
        <f t="shared" si="52"/>
        <v/>
      </c>
      <c r="V39" s="42" t="str">
        <f t="shared" si="52"/>
        <v/>
      </c>
      <c r="W39" s="42" t="str">
        <f t="shared" si="60"/>
        <v/>
      </c>
      <c r="X39" s="42" t="str">
        <f t="shared" si="60"/>
        <v/>
      </c>
      <c r="Y39" s="42" t="str">
        <f t="shared" si="60"/>
        <v/>
      </c>
      <c r="Z39" s="42" t="str">
        <f t="shared" si="60"/>
        <v/>
      </c>
      <c r="AA39" s="42" t="str">
        <f t="shared" si="60"/>
        <v/>
      </c>
      <c r="AB39" s="42" t="str">
        <f t="shared" si="60"/>
        <v/>
      </c>
      <c r="AC39" s="42" t="str">
        <f t="shared" si="60"/>
        <v/>
      </c>
      <c r="AD39" s="42" t="str">
        <f t="shared" si="60"/>
        <v/>
      </c>
      <c r="AE39" s="42" t="str">
        <f t="shared" si="60"/>
        <v/>
      </c>
      <c r="AF39" s="42" t="str">
        <f t="shared" si="60"/>
        <v/>
      </c>
      <c r="AG39" s="42" t="str">
        <f t="shared" si="60"/>
        <v/>
      </c>
      <c r="AH39" s="42" t="str">
        <f t="shared" si="60"/>
        <v/>
      </c>
      <c r="AI39" s="42" t="str">
        <f t="shared" si="60"/>
        <v/>
      </c>
      <c r="AJ39" s="42" t="str">
        <f t="shared" si="60"/>
        <v/>
      </c>
      <c r="AK39" s="41" t="str">
        <f t="shared" si="60"/>
        <v/>
      </c>
      <c r="AL39" s="41" t="str">
        <f t="shared" si="60"/>
        <v/>
      </c>
      <c r="AM39" s="41" t="str">
        <f t="shared" si="60"/>
        <v/>
      </c>
      <c r="AN39" s="41" t="str">
        <f t="shared" si="60"/>
        <v/>
      </c>
      <c r="AO39" s="42" t="str">
        <f t="shared" si="60"/>
        <v/>
      </c>
      <c r="AP39" s="42" t="str">
        <f t="shared" si="60"/>
        <v/>
      </c>
      <c r="AQ39" s="42" t="str">
        <f t="shared" si="60"/>
        <v/>
      </c>
      <c r="AR39" s="42" t="str">
        <f t="shared" si="60"/>
        <v/>
      </c>
      <c r="AS39" s="42" t="str">
        <f t="shared" si="60"/>
        <v/>
      </c>
      <c r="AT39" s="42" t="str">
        <f t="shared" si="61"/>
        <v/>
      </c>
      <c r="AU39" s="42" t="str">
        <f t="shared" si="61"/>
        <v/>
      </c>
      <c r="AV39" s="42" t="str">
        <f t="shared" si="61"/>
        <v/>
      </c>
      <c r="AW39" s="42" t="str">
        <f t="shared" si="61"/>
        <v/>
      </c>
      <c r="AX39" s="42" t="str">
        <f t="shared" si="61"/>
        <v/>
      </c>
      <c r="AY39" s="68" t="str">
        <f t="shared" si="54"/>
        <v/>
      </c>
    </row>
    <row r="40" spans="2:51" ht="45" customHeight="1" x14ac:dyDescent="0.2">
      <c r="B40" s="67" t="s">
        <v>18</v>
      </c>
      <c r="C40" s="65" t="s">
        <v>4</v>
      </c>
      <c r="D40" s="31">
        <v>46062</v>
      </c>
      <c r="E40" s="32">
        <v>8</v>
      </c>
      <c r="F40" s="33"/>
      <c r="G40" s="34" t="str">
        <f t="shared" si="52"/>
        <v/>
      </c>
      <c r="H40" s="34" t="str">
        <f t="shared" si="52"/>
        <v/>
      </c>
      <c r="I40" s="73" t="str">
        <f t="shared" si="52"/>
        <v/>
      </c>
      <c r="J40" s="36" t="str">
        <f t="shared" si="52"/>
        <v/>
      </c>
      <c r="K40" s="36" t="str">
        <f t="shared" si="52"/>
        <v/>
      </c>
      <c r="L40" s="82" t="str">
        <f t="shared" si="52"/>
        <v/>
      </c>
      <c r="M40" s="82" t="str">
        <f t="shared" si="52"/>
        <v/>
      </c>
      <c r="N40" s="82" t="str">
        <f t="shared" si="52"/>
        <v/>
      </c>
      <c r="O40" s="36" t="str">
        <f t="shared" si="52"/>
        <v/>
      </c>
      <c r="P40" s="36" t="str">
        <f t="shared" si="52"/>
        <v/>
      </c>
      <c r="Q40" s="36" t="str">
        <f t="shared" si="52"/>
        <v/>
      </c>
      <c r="R40" s="36" t="str">
        <f t="shared" si="52"/>
        <v/>
      </c>
      <c r="S40" s="36" t="str">
        <f t="shared" si="52"/>
        <v/>
      </c>
      <c r="T40" s="36" t="str">
        <f t="shared" si="52"/>
        <v/>
      </c>
      <c r="U40" s="36" t="str">
        <f t="shared" si="52"/>
        <v/>
      </c>
      <c r="V40" s="82" t="str">
        <f t="shared" si="52"/>
        <v/>
      </c>
      <c r="W40" s="82" t="str">
        <f t="shared" si="60"/>
        <v/>
      </c>
      <c r="X40" s="82" t="str">
        <f t="shared" si="60"/>
        <v/>
      </c>
      <c r="Y40" s="36" t="str">
        <f t="shared" si="60"/>
        <v/>
      </c>
      <c r="Z40" s="36" t="str">
        <f t="shared" si="60"/>
        <v/>
      </c>
      <c r="AA40" s="36" t="str">
        <f t="shared" si="60"/>
        <v/>
      </c>
      <c r="AB40" s="82" t="str">
        <f t="shared" si="60"/>
        <v/>
      </c>
      <c r="AC40" s="36" t="str">
        <f t="shared" si="60"/>
        <v/>
      </c>
      <c r="AD40" s="36" t="str">
        <f t="shared" si="60"/>
        <v/>
      </c>
      <c r="AE40" s="36" t="str">
        <f t="shared" si="60"/>
        <v/>
      </c>
      <c r="AF40" s="36" t="str">
        <f t="shared" si="60"/>
        <v/>
      </c>
      <c r="AG40" s="36" t="str">
        <f t="shared" si="60"/>
        <v/>
      </c>
      <c r="AH40" s="36" t="str">
        <f t="shared" si="60"/>
        <v/>
      </c>
      <c r="AI40" s="36" t="str">
        <f t="shared" si="60"/>
        <v/>
      </c>
      <c r="AJ40" s="36" t="str">
        <f t="shared" si="60"/>
        <v/>
      </c>
      <c r="AK40" s="36" t="str">
        <f t="shared" si="60"/>
        <v/>
      </c>
      <c r="AL40" s="36" t="str">
        <f t="shared" si="60"/>
        <v/>
      </c>
      <c r="AM40" s="36" t="str">
        <f t="shared" si="60"/>
        <v/>
      </c>
      <c r="AN40" s="36" t="str">
        <f t="shared" si="60"/>
        <v/>
      </c>
      <c r="AO40" s="36" t="str">
        <f t="shared" si="60"/>
        <v/>
      </c>
      <c r="AP40" s="36" t="str">
        <f t="shared" si="60"/>
        <v/>
      </c>
      <c r="AQ40" s="36" t="str">
        <f t="shared" si="60"/>
        <v/>
      </c>
      <c r="AR40" s="36" t="str">
        <f t="shared" si="60"/>
        <v/>
      </c>
      <c r="AS40" s="36" t="str">
        <f t="shared" si="60"/>
        <v/>
      </c>
      <c r="AT40" s="36" t="str">
        <f t="shared" si="61"/>
        <v/>
      </c>
      <c r="AU40" s="36" t="str">
        <f t="shared" si="61"/>
        <v/>
      </c>
      <c r="AV40" s="34" t="str">
        <f t="shared" si="61"/>
        <v/>
      </c>
      <c r="AW40" s="34" t="str">
        <f t="shared" si="61"/>
        <v/>
      </c>
      <c r="AX40" s="34" t="str">
        <f t="shared" si="61"/>
        <v/>
      </c>
      <c r="AY40" s="34" t="str">
        <f t="shared" si="54"/>
        <v/>
      </c>
    </row>
    <row r="41" spans="2:51" ht="45" customHeight="1" x14ac:dyDescent="0.2">
      <c r="B41" s="45" t="s">
        <v>19</v>
      </c>
      <c r="C41" s="39" t="s">
        <v>20</v>
      </c>
      <c r="D41" s="46">
        <v>46106</v>
      </c>
      <c r="E41" s="40"/>
      <c r="F41" s="33"/>
      <c r="G41" s="41" t="str">
        <f t="shared" si="52"/>
        <v/>
      </c>
      <c r="H41" s="42" t="str">
        <f t="shared" si="52"/>
        <v/>
      </c>
      <c r="I41" s="43" t="str">
        <f t="shared" si="52"/>
        <v/>
      </c>
      <c r="J41" s="42" t="str">
        <f t="shared" si="52"/>
        <v/>
      </c>
      <c r="K41" s="42" t="str">
        <f t="shared" si="52"/>
        <v/>
      </c>
      <c r="L41" s="42" t="str">
        <f t="shared" si="52"/>
        <v/>
      </c>
      <c r="M41" s="42" t="str">
        <f t="shared" si="52"/>
        <v/>
      </c>
      <c r="N41" s="42" t="str">
        <f t="shared" si="52"/>
        <v/>
      </c>
      <c r="O41" s="42" t="str">
        <f t="shared" si="52"/>
        <v/>
      </c>
      <c r="P41" s="42" t="str">
        <f t="shared" si="52"/>
        <v/>
      </c>
      <c r="Q41" s="42" t="str">
        <f t="shared" si="52"/>
        <v/>
      </c>
      <c r="R41" s="42" t="str">
        <f t="shared" si="52"/>
        <v/>
      </c>
      <c r="S41" s="42" t="str">
        <f t="shared" si="52"/>
        <v/>
      </c>
      <c r="T41" s="42" t="str">
        <f t="shared" si="52"/>
        <v/>
      </c>
      <c r="U41" s="42" t="str">
        <f t="shared" si="52"/>
        <v/>
      </c>
      <c r="V41" s="42" t="str">
        <f t="shared" si="52"/>
        <v/>
      </c>
      <c r="W41" s="42" t="str">
        <f t="shared" si="60"/>
        <v/>
      </c>
      <c r="X41" s="42" t="str">
        <f t="shared" si="60"/>
        <v/>
      </c>
      <c r="Y41" s="41" t="str">
        <f t="shared" si="60"/>
        <v/>
      </c>
      <c r="Z41" s="42" t="str">
        <f t="shared" si="60"/>
        <v/>
      </c>
      <c r="AA41" s="43" t="str">
        <f t="shared" si="60"/>
        <v/>
      </c>
      <c r="AB41" s="42" t="str">
        <f t="shared" si="60"/>
        <v/>
      </c>
      <c r="AC41" s="42" t="str">
        <f t="shared" si="60"/>
        <v/>
      </c>
      <c r="AD41" s="42" t="str">
        <f t="shared" si="60"/>
        <v/>
      </c>
      <c r="AE41" s="42" t="str">
        <f t="shared" si="60"/>
        <v/>
      </c>
      <c r="AF41" s="42" t="str">
        <f t="shared" si="60"/>
        <v/>
      </c>
      <c r="AG41" s="42" t="str">
        <f t="shared" si="60"/>
        <v/>
      </c>
      <c r="AH41" s="41" t="str">
        <f t="shared" si="60"/>
        <v/>
      </c>
      <c r="AI41" s="42" t="str">
        <f t="shared" si="60"/>
        <v/>
      </c>
      <c r="AJ41" s="43" t="str">
        <f t="shared" si="60"/>
        <v/>
      </c>
      <c r="AK41" s="42" t="str">
        <f t="shared" si="60"/>
        <v/>
      </c>
      <c r="AL41" s="42" t="str">
        <f t="shared" si="60"/>
        <v/>
      </c>
      <c r="AM41" s="42" t="str">
        <f t="shared" si="60"/>
        <v/>
      </c>
      <c r="AN41" s="42" t="str">
        <f t="shared" si="60"/>
        <v/>
      </c>
      <c r="AO41" s="42" t="str">
        <f t="shared" si="60"/>
        <v/>
      </c>
      <c r="AP41" s="42" t="str">
        <f t="shared" si="60"/>
        <v/>
      </c>
      <c r="AQ41" s="41" t="str">
        <f t="shared" si="60"/>
        <v/>
      </c>
      <c r="AR41" s="41" t="str">
        <f t="shared" si="60"/>
        <v/>
      </c>
      <c r="AS41" s="41" t="str">
        <f t="shared" si="60"/>
        <v/>
      </c>
      <c r="AT41" s="41" t="str">
        <f t="shared" si="61"/>
        <v/>
      </c>
      <c r="AU41" s="41" t="str">
        <f t="shared" si="61"/>
        <v/>
      </c>
      <c r="AV41" s="41" t="str">
        <f t="shared" si="61"/>
        <v/>
      </c>
      <c r="AW41" s="41" t="str">
        <f t="shared" si="61"/>
        <v/>
      </c>
      <c r="AX41" s="41" t="str">
        <f t="shared" si="61"/>
        <v/>
      </c>
      <c r="AY41" s="69" t="str">
        <f t="shared" si="54"/>
        <v/>
      </c>
    </row>
    <row r="371" spans="1:1" x14ac:dyDescent="0.2">
      <c r="A371" s="71"/>
    </row>
  </sheetData>
  <mergeCells count="14">
    <mergeCell ref="B1:F1"/>
    <mergeCell ref="G1:L1"/>
    <mergeCell ref="M1:R1"/>
    <mergeCell ref="AQ22:AV22"/>
    <mergeCell ref="AW22:AY22"/>
    <mergeCell ref="Y1:AD1"/>
    <mergeCell ref="AE1:AJ1"/>
    <mergeCell ref="AQ1:AV1"/>
    <mergeCell ref="AW1:AY1"/>
    <mergeCell ref="B22:F22"/>
    <mergeCell ref="G22:L22"/>
    <mergeCell ref="M22:R22"/>
    <mergeCell ref="Y22:AD22"/>
    <mergeCell ref="AE22:AJ22"/>
  </mergeCells>
  <conditionalFormatting sqref="G28">
    <cfRule type="expression" dxfId="32" priority="80" stopIfTrue="1">
      <formula>AND(LEN($C28)=0,H$4&gt;=$D28,H$4&lt;=$D28+$E28-1)</formula>
    </cfRule>
    <cfRule type="expression" dxfId="31" priority="79" stopIfTrue="1">
      <formula>AND($C28="Test",H$4&gt;=$D28,H$4&lt;=$D28+$E28-1)</formula>
    </cfRule>
    <cfRule type="expression" dxfId="30" priority="78" stopIfTrue="1">
      <formula>AND($C28="Implémentation",H$4&gt;=$D28,H$4&lt;=$D28+$E28-1)</formula>
    </cfRule>
    <cfRule type="expression" dxfId="29" priority="77" stopIfTrue="1">
      <formula>AND($C28="Analyse/Conception",H$4&gt;=$D28,H$4&lt;=$D28+$E28-1)</formula>
    </cfRule>
    <cfRule type="expression" dxfId="28" priority="76" stopIfTrue="1">
      <formula>AND($C28="Documentation",H$4&gt;=$D28,H$4&lt;=$D28+$E28-1)</formula>
    </cfRule>
    <cfRule type="expression" dxfId="27" priority="69">
      <formula>AND(TODAY()&gt;=H$4,TODAY()&lt;I$4)</formula>
    </cfRule>
  </conditionalFormatting>
  <conditionalFormatting sqref="G4:AX18 G20:AX20 G25:AX27 H28:AX28 G41:AX41 G29:AX39">
    <cfRule type="expression" dxfId="26" priority="26">
      <formula>AND(TODAY()&gt;=G$4,TODAY()&lt;H$4)</formula>
    </cfRule>
  </conditionalFormatting>
  <conditionalFormatting sqref="G3:AY3">
    <cfRule type="expression" dxfId="25" priority="29">
      <formula>G$4&lt;=EOMONTH($G$4,0)</formula>
    </cfRule>
    <cfRule type="expression" dxfId="24" priority="27">
      <formula>AND(G$4&lt;=EOMONTH($G$4,1),G$4&gt;EOMONTH($G$4,0))</formula>
    </cfRule>
  </conditionalFormatting>
  <conditionalFormatting sqref="G7:AY18 G20:AY20">
    <cfRule type="expression" dxfId="23" priority="50" stopIfTrue="1">
      <formula>AND($C7="Documentation",G$4&gt;=$D7,G$4&lt;=$D7+$E7-1)</formula>
    </cfRule>
    <cfRule type="expression" dxfId="22" priority="51" stopIfTrue="1">
      <formula>AND($C7="Analyse/Conception",G$4&gt;=$D7,G$4&lt;=$D7+$E7-1)</formula>
    </cfRule>
    <cfRule type="expression" dxfId="21" priority="52" stopIfTrue="1">
      <formula>AND($C7="Implémentation",G$4&gt;=$D7,G$4&lt;=$D7+$E7-1)</formula>
    </cfRule>
    <cfRule type="expression" dxfId="20" priority="53" stopIfTrue="1">
      <formula>AND($C7="Test",G$4&gt;=$D7,G$4&lt;=$D7+$E7-1)</formula>
    </cfRule>
    <cfRule type="expression" dxfId="19" priority="54" stopIfTrue="1">
      <formula>AND(LEN($C7)=0,G$4&gt;=$D7,G$4&lt;=$D7+$E7-1)</formula>
    </cfRule>
  </conditionalFormatting>
  <conditionalFormatting sqref="G24:AY24">
    <cfRule type="expression" dxfId="18" priority="10">
      <formula>G$4&lt;=EOMONTH($G$4,0)</formula>
    </cfRule>
    <cfRule type="expression" dxfId="17" priority="8">
      <formula>AND(G$4&lt;=EOMONTH($G$4,1),G$4&gt;EOMONTH($G$4,0))</formula>
    </cfRule>
  </conditionalFormatting>
  <conditionalFormatting sqref="H3:X3">
    <cfRule type="expression" dxfId="16" priority="38">
      <formula>AND(H$4&lt;=EOMONTH($G$4,2),H$4&gt;EOMONTH($G$4,0),H$4&gt;EOMONTH($G$4,1))</formula>
    </cfRule>
  </conditionalFormatting>
  <conditionalFormatting sqref="H24:X24">
    <cfRule type="expression" dxfId="15" priority="11">
      <formula>AND(H$4&lt;=EOMONTH($G$4,2),H$4&gt;EOMONTH($G$4,0),H$4&gt;EOMONTH($G$4,1))</formula>
    </cfRule>
  </conditionalFormatting>
  <conditionalFormatting sqref="H28:AY28 G41:AY41 G29:AY39">
    <cfRule type="expression" dxfId="14" priority="64" stopIfTrue="1">
      <formula>AND($C28="Implémentation",G$4&gt;=$D28,G$4&lt;=$D28+$E28-1)</formula>
    </cfRule>
    <cfRule type="expression" dxfId="13" priority="66" stopIfTrue="1">
      <formula>AND(LEN($C28)=0,G$4&gt;=$D28,G$4&lt;=$D28+$E28-1)</formula>
    </cfRule>
    <cfRule type="expression" dxfId="12" priority="65" stopIfTrue="1">
      <formula>AND($C28="Test",G$4&gt;=$D28,G$4&lt;=$D28+$E28-1)</formula>
    </cfRule>
    <cfRule type="expression" dxfId="11" priority="62" stopIfTrue="1">
      <formula>AND($C28="Documentation",G$4&gt;=$D28,G$4&lt;=$D28+$E28-1)</formula>
    </cfRule>
    <cfRule type="expression" dxfId="10" priority="63" stopIfTrue="1">
      <formula>AND($C28="Analyse/Conception",G$4&gt;=$D28,G$4&lt;=$D28+$E28-1)</formula>
    </cfRule>
  </conditionalFormatting>
  <conditionalFormatting sqref="J40:AU40">
    <cfRule type="expression" dxfId="9" priority="1">
      <formula>AND(TODAY()&gt;=J$4,TODAY()&lt;K$4)</formula>
    </cfRule>
    <cfRule type="expression" dxfId="8" priority="6" stopIfTrue="1">
      <formula>AND(LEN($C40)=0,J$4&gt;=$D40,J$4&lt;=$D40+$E40-1)</formula>
    </cfRule>
    <cfRule type="expression" dxfId="7" priority="5" stopIfTrue="1">
      <formula>AND($C40="Test",J$4&gt;=$D40,J$4&lt;=$D40+$E40-1)</formula>
    </cfRule>
    <cfRule type="expression" dxfId="6" priority="4" stopIfTrue="1">
      <formula>AND($C40="Implémentation",J$4&gt;=$D40,J$4&lt;=$D40+$E40-1)</formula>
    </cfRule>
    <cfRule type="expression" dxfId="5" priority="3" stopIfTrue="1">
      <formula>AND($C40="Analyse/Conception",J$4&gt;=$D40,J$4&lt;=$D40+$E40-1)</formula>
    </cfRule>
    <cfRule type="expression" dxfId="4" priority="2" stopIfTrue="1">
      <formula>AND($C40="Documentation",J$4&gt;=$D40,J$4&lt;=$D40+$E40-1)</formula>
    </cfRule>
  </conditionalFormatting>
  <conditionalFormatting sqref="Z3:AY3">
    <cfRule type="expression" dxfId="3" priority="28">
      <formula>AND(Z$4&lt;=EOMONTH($G$4,2),Z$4&gt;EOMONTH($G$4,0),Z$4&gt;EOMONTH($G$4,1))</formula>
    </cfRule>
  </conditionalFormatting>
  <conditionalFormatting sqref="Z24:AY24">
    <cfRule type="expression" dxfId="2" priority="9">
      <formula>AND(Z$4&lt;=EOMONTH($G$4,2),Z$4&gt;EOMONTH($G$4,0),Z$4&gt;EOMONTH($G$4,1))</formula>
    </cfRule>
  </conditionalFormatting>
  <conditionalFormatting sqref="AY4:AY18 AY20">
    <cfRule type="expression" dxfId="1" priority="47">
      <formula>AND(TODAY()&gt;=AY$4,TODAY()&lt;#REF!)</formula>
    </cfRule>
  </conditionalFormatting>
  <conditionalFormatting sqref="AY25:AY39 AY41">
    <cfRule type="expression" dxfId="0" priority="12">
      <formula>AND(TODAY()&gt;=AY$4,TODAY()&lt;#REF!)</formula>
    </cfRule>
  </conditionalFormatting>
  <dataValidations disablePrompts="1" count="2">
    <dataValidation type="list" allowBlank="1" showInputMessage="1" showErrorMessage="1" sqref="C7:C20 C28:C41" xr:uid="{B492E86F-1E37-4F9B-B213-67C11C0E329B}">
      <formula1>"Documentation,Analyse/Conception,Implémentation,Test"</formula1>
    </dataValidation>
    <dataValidation type="whole" operator="greaterThanOrEqual" allowBlank="1" showInputMessage="1" promptTitle="Scrolling Increment" prompt="Changing this number will scroll the Gantt Chart view." sqref="C4 B25:C25" xr:uid="{4748FCB3-2300-46D4-840D-52561D23F560}">
      <formula1>0</formula1>
    </dataValidation>
  </dataValidations>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iconSet" priority="81" id="{2A7596FB-099C-42C2-8783-D8039EBD2C25}">
            <x14:iconSet iconSet="3Stars" showValue="0" custom="1">
              <x14:cfvo type="percent">
                <xm:f>0</xm:f>
              </x14:cfvo>
              <x14:cfvo type="num">
                <xm:f>1</xm:f>
              </x14:cfvo>
              <x14:cfvo type="num">
                <xm:f>2</xm:f>
              </x14:cfvo>
              <x14:cfIcon iconSet="NoIcons" iconId="0"/>
              <x14:cfIcon iconSet="3Flags" iconId="1"/>
              <x14:cfIcon iconSet="3Signs" iconId="0"/>
            </x14:iconSet>
          </x14:cfRule>
          <xm:sqref>G28</xm:sqref>
        </x14:conditionalFormatting>
        <x14:conditionalFormatting xmlns:xm="http://schemas.microsoft.com/office/excel/2006/main">
          <x14:cfRule type="iconSet" priority="55" id="{8798E02C-FCAB-43C0-9749-F03AB4622BC1}">
            <x14:iconSet iconSet="3Stars" showValue="0" custom="1">
              <x14:cfvo type="percent">
                <xm:f>0</xm:f>
              </x14:cfvo>
              <x14:cfvo type="num">
                <xm:f>1</xm:f>
              </x14:cfvo>
              <x14:cfvo type="num">
                <xm:f>2</xm:f>
              </x14:cfvo>
              <x14:cfIcon iconSet="NoIcons" iconId="0"/>
              <x14:cfIcon iconSet="3Flags" iconId="1"/>
              <x14:cfIcon iconSet="3Signs" iconId="0"/>
            </x14:iconSet>
          </x14:cfRule>
          <xm:sqref>G7:AY18 G20:AY20</xm:sqref>
        </x14:conditionalFormatting>
        <x14:conditionalFormatting xmlns:xm="http://schemas.microsoft.com/office/excel/2006/main">
          <x14:cfRule type="iconSet" priority="67" id="{2A7596FB-099C-42C2-8783-D8039EBD2C25}">
            <x14:iconSet iconSet="3Stars" showValue="0" custom="1">
              <x14:cfvo type="percent">
                <xm:f>0</xm:f>
              </x14:cfvo>
              <x14:cfvo type="num">
                <xm:f>1</xm:f>
              </x14:cfvo>
              <x14:cfvo type="num">
                <xm:f>2</xm:f>
              </x14:cfvo>
              <x14:cfIcon iconSet="NoIcons" iconId="0"/>
              <x14:cfIcon iconSet="3Flags" iconId="1"/>
              <x14:cfIcon iconSet="3Signs" iconId="0"/>
            </x14:iconSet>
          </x14:cfRule>
          <xm:sqref>H28:AY28 G41:AY41 G29:AY39</xm:sqref>
        </x14:conditionalFormatting>
        <x14:conditionalFormatting xmlns:xm="http://schemas.microsoft.com/office/excel/2006/main">
          <x14:cfRule type="iconSet" priority="7" id="{21147DDB-63BB-4EB5-8380-D36DB5588382}">
            <x14:iconSet iconSet="3Stars" showValue="0" custom="1">
              <x14:cfvo type="percent">
                <xm:f>0</xm:f>
              </x14:cfvo>
              <x14:cfvo type="num">
                <xm:f>1</xm:f>
              </x14:cfvo>
              <x14:cfvo type="num">
                <xm:f>2</xm:f>
              </x14:cfvo>
              <x14:cfIcon iconSet="NoIcons" iconId="0"/>
              <x14:cfIcon iconSet="3Flags" iconId="1"/>
              <x14:cfIcon iconSet="3Signs" iconId="0"/>
            </x14:iconSet>
          </x14:cfRule>
          <xm:sqref>J40:AU40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Journal de travail</vt:lpstr>
      <vt:lpstr>Planification</vt:lpstr>
      <vt:lpstr>Planification!Project_Start</vt:lpstr>
      <vt:lpstr>Planification!Scrolling_Increment</vt:lpstr>
    </vt:vector>
  </TitlesOfParts>
  <Company>CPNV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Kamano</dc:creator>
  <cp:lastModifiedBy>Alex Jason Sia Kamano</cp:lastModifiedBy>
  <cp:lastPrinted>2026-03-04T14:55:42Z</cp:lastPrinted>
  <dcterms:created xsi:type="dcterms:W3CDTF">2025-01-08T09:19:17Z</dcterms:created>
  <dcterms:modified xsi:type="dcterms:W3CDTF">2026-03-11T16:46:32Z</dcterms:modified>
</cp:coreProperties>
</file>